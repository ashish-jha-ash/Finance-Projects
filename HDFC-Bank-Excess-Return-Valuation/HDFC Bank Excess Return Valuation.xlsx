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ish Jha\Downloads\"/>
    </mc:Choice>
  </mc:AlternateContent>
  <xr:revisionPtr revIDLastSave="0" documentId="13_ncr:1_{55CBFCF5-8A34-4873-B126-303C8AD78D56}" xr6:coauthVersionLast="47" xr6:coauthVersionMax="47" xr10:uidLastSave="{00000000-0000-0000-0000-000000000000}"/>
  <bookViews>
    <workbookView xWindow="-110" yWindow="-110" windowWidth="19420" windowHeight="11500" tabRatio="835" firstSheet="5" activeTab="9" xr2:uid="{00000000-000D-0000-FFFF-FFFF00000000}"/>
  </bookViews>
  <sheets>
    <sheet name="Profit &amp; Loss" sheetId="1" state="hidden" r:id="rId1"/>
    <sheet name="Quarters" sheetId="3" state="hidden" r:id="rId2"/>
    <sheet name="Balance Sheet" sheetId="2" state="hidden" r:id="rId3"/>
    <sheet name="Cash Flow" sheetId="4" state="hidden" r:id="rId4"/>
    <sheet name="Customization" sheetId="5" state="hidden" r:id="rId5"/>
    <sheet name="Index" sheetId="25" r:id="rId6"/>
    <sheet name="Investment Summary" sheetId="26" r:id="rId7"/>
    <sheet name="Data Sheet" sheetId="6" r:id="rId8"/>
    <sheet name="HistoricalFS" sheetId="8" r:id="rId9"/>
    <sheet name="Ratio Analysis" sheetId="17" r:id="rId10"/>
    <sheet name="Raw FS" sheetId="14" r:id="rId11"/>
    <sheet name="Data Room&gt;" sheetId="16" r:id="rId12"/>
    <sheet name="Beta-Regression" sheetId="20" r:id="rId13"/>
    <sheet name="Cost of Equity" sheetId="22" r:id="rId14"/>
    <sheet name="Rm" sheetId="18" r:id="rId15"/>
    <sheet name="Forecasting" sheetId="23" r:id="rId16"/>
    <sheet name="Excess Return Val" sheetId="24" r:id="rId17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25" l="1"/>
  <c r="N9" i="25"/>
  <c r="D8" i="26" s="1"/>
  <c r="B2" i="26"/>
  <c r="D12" i="25"/>
  <c r="D9" i="25"/>
  <c r="E11" i="24"/>
  <c r="E7" i="24"/>
  <c r="F7" i="24"/>
  <c r="G7" i="24"/>
  <c r="D7" i="24"/>
  <c r="G6" i="23"/>
  <c r="I6" i="23"/>
  <c r="D6" i="23"/>
  <c r="D41" i="8"/>
  <c r="E41" i="8"/>
  <c r="F41" i="8"/>
  <c r="G41" i="8"/>
  <c r="H41" i="8"/>
  <c r="I41" i="8"/>
  <c r="J41" i="8"/>
  <c r="K41" i="8"/>
  <c r="L41" i="8"/>
  <c r="M41" i="8"/>
  <c r="C41" i="8"/>
  <c r="D27" i="8"/>
  <c r="E27" i="8"/>
  <c r="F27" i="8"/>
  <c r="G27" i="8"/>
  <c r="H27" i="8"/>
  <c r="I27" i="8"/>
  <c r="J27" i="8"/>
  <c r="K27" i="8"/>
  <c r="L27" i="8"/>
  <c r="M27" i="8"/>
  <c r="C27" i="8"/>
  <c r="B2" i="23"/>
  <c r="B2" i="22"/>
  <c r="O4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8" i="20"/>
  <c r="F7" i="18"/>
  <c r="F5" i="18"/>
  <c r="E6" i="17"/>
  <c r="F6" i="17"/>
  <c r="G6" i="17"/>
  <c r="H6" i="17"/>
  <c r="I6" i="17"/>
  <c r="J6" i="17"/>
  <c r="K6" i="17"/>
  <c r="L6" i="17"/>
  <c r="E7" i="17"/>
  <c r="F7" i="17"/>
  <c r="G7" i="17"/>
  <c r="H7" i="17"/>
  <c r="I7" i="17"/>
  <c r="J7" i="17"/>
  <c r="K7" i="17"/>
  <c r="L7" i="17"/>
  <c r="D7" i="17"/>
  <c r="D6" i="17"/>
  <c r="B2" i="17"/>
  <c r="N28" i="14"/>
  <c r="M28" i="14"/>
  <c r="L28" i="14"/>
  <c r="K28" i="14"/>
  <c r="J28" i="14"/>
  <c r="I28" i="14"/>
  <c r="H28" i="14"/>
  <c r="G28" i="14"/>
  <c r="F28" i="14"/>
  <c r="E28" i="14"/>
  <c r="D28" i="14"/>
  <c r="C28" i="14"/>
  <c r="B2" i="8"/>
  <c r="D74" i="8"/>
  <c r="E74" i="8"/>
  <c r="F74" i="8"/>
  <c r="G74" i="8"/>
  <c r="H74" i="8"/>
  <c r="I74" i="8"/>
  <c r="J74" i="8"/>
  <c r="K74" i="8"/>
  <c r="L74" i="8"/>
  <c r="C74" i="8"/>
  <c r="D72" i="8"/>
  <c r="E72" i="8"/>
  <c r="F72" i="8"/>
  <c r="G72" i="8"/>
  <c r="H72" i="8"/>
  <c r="I72" i="8"/>
  <c r="J72" i="8"/>
  <c r="K72" i="8"/>
  <c r="L72" i="8"/>
  <c r="C72" i="8"/>
  <c r="D70" i="8"/>
  <c r="E70" i="8"/>
  <c r="F70" i="8"/>
  <c r="G70" i="8"/>
  <c r="H70" i="8"/>
  <c r="I70" i="8"/>
  <c r="J70" i="8"/>
  <c r="K70" i="8"/>
  <c r="L70" i="8"/>
  <c r="C70" i="8"/>
  <c r="D6" i="8"/>
  <c r="E6" i="8"/>
  <c r="F6" i="8"/>
  <c r="G6" i="8"/>
  <c r="H6" i="8"/>
  <c r="I6" i="8"/>
  <c r="J6" i="8"/>
  <c r="K6" i="8"/>
  <c r="L6" i="8"/>
  <c r="M6" i="8"/>
  <c r="D64" i="8"/>
  <c r="E64" i="8"/>
  <c r="F64" i="8"/>
  <c r="G64" i="8"/>
  <c r="H64" i="8"/>
  <c r="I64" i="8"/>
  <c r="J64" i="8"/>
  <c r="K64" i="8"/>
  <c r="L64" i="8"/>
  <c r="C64" i="8"/>
  <c r="C60" i="8"/>
  <c r="D60" i="8"/>
  <c r="E60" i="8"/>
  <c r="F60" i="8"/>
  <c r="G60" i="8"/>
  <c r="H60" i="8"/>
  <c r="I60" i="8"/>
  <c r="J60" i="8"/>
  <c r="K60" i="8"/>
  <c r="L60" i="8"/>
  <c r="C61" i="8"/>
  <c r="D61" i="8"/>
  <c r="E61" i="8"/>
  <c r="F61" i="8"/>
  <c r="G61" i="8"/>
  <c r="H61" i="8"/>
  <c r="I61" i="8"/>
  <c r="J61" i="8"/>
  <c r="K61" i="8"/>
  <c r="L61" i="8"/>
  <c r="D59" i="8"/>
  <c r="E59" i="8"/>
  <c r="F59" i="8"/>
  <c r="G59" i="8"/>
  <c r="H59" i="8"/>
  <c r="I59" i="8"/>
  <c r="J59" i="8"/>
  <c r="K59" i="8"/>
  <c r="L59" i="8"/>
  <c r="C59" i="8"/>
  <c r="C54" i="8"/>
  <c r="D54" i="8"/>
  <c r="E54" i="8"/>
  <c r="F54" i="8"/>
  <c r="G54" i="8"/>
  <c r="H54" i="8"/>
  <c r="I54" i="8"/>
  <c r="J54" i="8"/>
  <c r="K54" i="8"/>
  <c r="L54" i="8"/>
  <c r="C55" i="8"/>
  <c r="D55" i="8"/>
  <c r="E55" i="8"/>
  <c r="F55" i="8"/>
  <c r="G55" i="8"/>
  <c r="H55" i="8"/>
  <c r="I55" i="8"/>
  <c r="J55" i="8"/>
  <c r="K55" i="8"/>
  <c r="L55" i="8"/>
  <c r="D53" i="8"/>
  <c r="E53" i="8"/>
  <c r="F53" i="8"/>
  <c r="G53" i="8"/>
  <c r="H53" i="8"/>
  <c r="I53" i="8"/>
  <c r="J53" i="8"/>
  <c r="K53" i="8"/>
  <c r="L53" i="8"/>
  <c r="C53" i="8"/>
  <c r="C48" i="8"/>
  <c r="D48" i="8"/>
  <c r="E48" i="8"/>
  <c r="F48" i="8"/>
  <c r="G48" i="8"/>
  <c r="H48" i="8"/>
  <c r="I48" i="8"/>
  <c r="J48" i="8"/>
  <c r="K48" i="8"/>
  <c r="L48" i="8"/>
  <c r="C49" i="8"/>
  <c r="D49" i="8"/>
  <c r="E49" i="8"/>
  <c r="F49" i="8"/>
  <c r="G49" i="8"/>
  <c r="H49" i="8"/>
  <c r="I49" i="8"/>
  <c r="J49" i="8"/>
  <c r="K49" i="8"/>
  <c r="L49" i="8"/>
  <c r="C50" i="8"/>
  <c r="D50" i="8"/>
  <c r="E50" i="8"/>
  <c r="F50" i="8"/>
  <c r="G50" i="8"/>
  <c r="H50" i="8"/>
  <c r="I50" i="8"/>
  <c r="J50" i="8"/>
  <c r="K50" i="8"/>
  <c r="L50" i="8"/>
  <c r="C51" i="8"/>
  <c r="D51" i="8"/>
  <c r="E51" i="8"/>
  <c r="F51" i="8"/>
  <c r="G51" i="8"/>
  <c r="H51" i="8"/>
  <c r="I51" i="8"/>
  <c r="J51" i="8"/>
  <c r="K51" i="8"/>
  <c r="L51" i="8"/>
  <c r="D47" i="8"/>
  <c r="E47" i="8"/>
  <c r="F47" i="8"/>
  <c r="G47" i="8"/>
  <c r="H47" i="8"/>
  <c r="I47" i="8"/>
  <c r="J47" i="8"/>
  <c r="K47" i="8"/>
  <c r="L47" i="8"/>
  <c r="C47" i="8"/>
  <c r="C36" i="8"/>
  <c r="D36" i="8"/>
  <c r="E36" i="8"/>
  <c r="F36" i="8"/>
  <c r="G36" i="8"/>
  <c r="H36" i="8"/>
  <c r="I36" i="8"/>
  <c r="J36" i="8"/>
  <c r="K36" i="8"/>
  <c r="L36" i="8"/>
  <c r="M30" i="8"/>
  <c r="D30" i="8"/>
  <c r="E30" i="8"/>
  <c r="F30" i="8"/>
  <c r="G30" i="8"/>
  <c r="H30" i="8"/>
  <c r="I30" i="8"/>
  <c r="J30" i="8"/>
  <c r="K30" i="8"/>
  <c r="L30" i="8"/>
  <c r="C30" i="8"/>
  <c r="M24" i="8"/>
  <c r="M21" i="8"/>
  <c r="M18" i="8"/>
  <c r="M9" i="8"/>
  <c r="D24" i="8"/>
  <c r="E24" i="8"/>
  <c r="F24" i="8"/>
  <c r="G24" i="8"/>
  <c r="H24" i="8"/>
  <c r="I24" i="8"/>
  <c r="J24" i="8"/>
  <c r="K24" i="8"/>
  <c r="L24" i="8"/>
  <c r="C24" i="8"/>
  <c r="D21" i="8"/>
  <c r="E21" i="8"/>
  <c r="F21" i="8"/>
  <c r="G21" i="8"/>
  <c r="H21" i="8"/>
  <c r="I21" i="8"/>
  <c r="J21" i="8"/>
  <c r="K21" i="8"/>
  <c r="L21" i="8"/>
  <c r="C21" i="8"/>
  <c r="D15" i="8"/>
  <c r="E15" i="8"/>
  <c r="F15" i="8"/>
  <c r="G15" i="8"/>
  <c r="H15" i="8"/>
  <c r="I15" i="8"/>
  <c r="J15" i="8"/>
  <c r="K15" i="8"/>
  <c r="L15" i="8"/>
  <c r="C15" i="8"/>
  <c r="D9" i="8"/>
  <c r="E9" i="8"/>
  <c r="F9" i="8"/>
  <c r="G9" i="8"/>
  <c r="H9" i="8"/>
  <c r="I9" i="8"/>
  <c r="J9" i="8"/>
  <c r="K9" i="8"/>
  <c r="L9" i="8"/>
  <c r="C9" i="8"/>
  <c r="C6" i="8"/>
  <c r="D3" i="8"/>
  <c r="E3" i="8"/>
  <c r="F3" i="8"/>
  <c r="G3" i="8"/>
  <c r="H3" i="8"/>
  <c r="I3" i="8"/>
  <c r="J3" i="8"/>
  <c r="K3" i="8"/>
  <c r="L3" i="8"/>
  <c r="C3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I21" i="2" s="1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D16" i="2" s="1"/>
  <c r="E13" i="2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F4" i="3"/>
  <c r="G4" i="3"/>
  <c r="H4" i="3"/>
  <c r="I4" i="3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A1" i="3" s="1"/>
  <c r="E1" i="6"/>
  <c r="H1" i="1" s="1"/>
  <c r="E1" i="2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J23" i="1"/>
  <c r="D3" i="17" l="1"/>
  <c r="F3" i="17"/>
  <c r="H3" i="17"/>
  <c r="J3" i="17"/>
  <c r="L3" i="17"/>
  <c r="D20" i="2"/>
  <c r="E20" i="2"/>
  <c r="F21" i="2"/>
  <c r="D33" i="24"/>
  <c r="B6" i="23"/>
  <c r="O6" i="17"/>
  <c r="E3" i="17"/>
  <c r="G3" i="17"/>
  <c r="I3" i="17"/>
  <c r="K3" i="17"/>
  <c r="C3" i="17"/>
  <c r="C6" i="24"/>
  <c r="C4" i="24"/>
  <c r="N6" i="17"/>
  <c r="L56" i="8"/>
  <c r="C56" i="8"/>
  <c r="I66" i="8"/>
  <c r="D7" i="23"/>
  <c r="C14" i="3"/>
  <c r="D14" i="3"/>
  <c r="G14" i="3"/>
  <c r="L7" i="1"/>
  <c r="L11" i="1"/>
  <c r="C21" i="2"/>
  <c r="M31" i="8"/>
  <c r="H7" i="24"/>
  <c r="F11" i="24"/>
  <c r="G11" i="24" s="1"/>
  <c r="H11" i="24" s="1"/>
  <c r="N7" i="17"/>
  <c r="O7" i="17"/>
  <c r="B7" i="23"/>
  <c r="L6" i="20"/>
  <c r="L12" i="20" s="1"/>
  <c r="D5" i="22" s="1"/>
  <c r="D9" i="22" s="1"/>
  <c r="D76" i="8"/>
  <c r="F66" i="8"/>
  <c r="J66" i="8"/>
  <c r="C16" i="2"/>
  <c r="C14" i="1"/>
  <c r="D66" i="8"/>
  <c r="D23" i="2"/>
  <c r="G14" i="1"/>
  <c r="G66" i="8"/>
  <c r="E14" i="3"/>
  <c r="J23" i="2"/>
  <c r="K76" i="8"/>
  <c r="L76" i="8"/>
  <c r="C76" i="8"/>
  <c r="H66" i="8"/>
  <c r="F16" i="2"/>
  <c r="F14" i="1"/>
  <c r="K14" i="1"/>
  <c r="I76" i="8"/>
  <c r="B6" i="1"/>
  <c r="B19" i="1" s="1"/>
  <c r="H23" i="1"/>
  <c r="D56" i="8"/>
  <c r="D57" i="8" s="1"/>
  <c r="D62" i="8"/>
  <c r="H76" i="8"/>
  <c r="G76" i="8"/>
  <c r="H7" i="8"/>
  <c r="K62" i="8"/>
  <c r="F76" i="8"/>
  <c r="L12" i="1"/>
  <c r="L13" i="1" s="1"/>
  <c r="L14" i="1" s="1"/>
  <c r="L25" i="1" s="1"/>
  <c r="H16" i="2"/>
  <c r="K23" i="2"/>
  <c r="K56" i="8"/>
  <c r="K57" i="8" s="1"/>
  <c r="E66" i="8"/>
  <c r="L62" i="8"/>
  <c r="H21" i="2"/>
  <c r="G62" i="8"/>
  <c r="C66" i="8"/>
  <c r="J76" i="8"/>
  <c r="H23" i="2"/>
  <c r="E21" i="2"/>
  <c r="J62" i="8"/>
  <c r="E76" i="8"/>
  <c r="J6" i="1"/>
  <c r="J19" i="1" s="1"/>
  <c r="D13" i="1"/>
  <c r="E13" i="1" s="1"/>
  <c r="E14" i="1" s="1"/>
  <c r="I62" i="8"/>
  <c r="H14" i="3"/>
  <c r="I14" i="3"/>
  <c r="H62" i="8"/>
  <c r="G20" i="2"/>
  <c r="L10" i="1"/>
  <c r="L5" i="1"/>
  <c r="C23" i="2"/>
  <c r="J20" i="2"/>
  <c r="F62" i="8"/>
  <c r="L66" i="8"/>
  <c r="E62" i="8"/>
  <c r="K66" i="8"/>
  <c r="K20" i="2"/>
  <c r="J14" i="3"/>
  <c r="E1" i="3"/>
  <c r="C62" i="8"/>
  <c r="J56" i="8"/>
  <c r="J57" i="8" s="1"/>
  <c r="I56" i="8"/>
  <c r="I57" i="8" s="1"/>
  <c r="L6" i="1"/>
  <c r="H56" i="8"/>
  <c r="H57" i="8" s="1"/>
  <c r="G56" i="8"/>
  <c r="G57" i="8" s="1"/>
  <c r="J14" i="1"/>
  <c r="I16" i="2"/>
  <c r="J21" i="2"/>
  <c r="F14" i="3"/>
  <c r="F56" i="8"/>
  <c r="F57" i="8" s="1"/>
  <c r="E56" i="8"/>
  <c r="E57" i="8" s="1"/>
  <c r="K21" i="2"/>
  <c r="B14" i="1"/>
  <c r="G6" i="1"/>
  <c r="G19" i="1" s="1"/>
  <c r="G16" i="2"/>
  <c r="C16" i="8"/>
  <c r="G21" i="2"/>
  <c r="D21" i="2"/>
  <c r="L10" i="8"/>
  <c r="M28" i="8"/>
  <c r="L12" i="8"/>
  <c r="L18" i="8" s="1"/>
  <c r="J10" i="8"/>
  <c r="C25" i="8"/>
  <c r="C22" i="8"/>
  <c r="L22" i="8"/>
  <c r="K22" i="8"/>
  <c r="E22" i="8"/>
  <c r="D16" i="8"/>
  <c r="M7" i="8"/>
  <c r="G12" i="8"/>
  <c r="L7" i="8"/>
  <c r="C10" i="8"/>
  <c r="L16" i="8"/>
  <c r="L25" i="8"/>
  <c r="F22" i="8"/>
  <c r="E10" i="8"/>
  <c r="K16" i="8"/>
  <c r="M22" i="8"/>
  <c r="K7" i="8"/>
  <c r="K25" i="8"/>
  <c r="K10" i="8"/>
  <c r="K12" i="8"/>
  <c r="J12" i="8"/>
  <c r="J22" i="8"/>
  <c r="J25" i="8"/>
  <c r="D25" i="8"/>
  <c r="M10" i="8"/>
  <c r="J16" i="8"/>
  <c r="M12" i="8"/>
  <c r="M13" i="8" s="1"/>
  <c r="C12" i="8"/>
  <c r="G7" i="8"/>
  <c r="D10" i="8"/>
  <c r="I16" i="8"/>
  <c r="F7" i="8"/>
  <c r="H16" i="8"/>
  <c r="E7" i="8"/>
  <c r="G16" i="8"/>
  <c r="M19" i="8"/>
  <c r="F16" i="8"/>
  <c r="J7" i="8"/>
  <c r="E16" i="8"/>
  <c r="D22" i="8"/>
  <c r="M25" i="8"/>
  <c r="I25" i="8"/>
  <c r="H25" i="8"/>
  <c r="H12" i="8"/>
  <c r="I10" i="8"/>
  <c r="F25" i="8"/>
  <c r="F12" i="8"/>
  <c r="G10" i="8"/>
  <c r="E12" i="8"/>
  <c r="H22" i="8"/>
  <c r="F10" i="8"/>
  <c r="D12" i="8"/>
  <c r="G22" i="8"/>
  <c r="I7" i="8"/>
  <c r="I12" i="8"/>
  <c r="G25" i="8"/>
  <c r="D7" i="8"/>
  <c r="H10" i="8"/>
  <c r="I22" i="8"/>
  <c r="E25" i="8"/>
  <c r="K24" i="2"/>
  <c r="B14" i="3"/>
  <c r="D6" i="1"/>
  <c r="D19" i="1" s="1"/>
  <c r="E6" i="1"/>
  <c r="E19" i="1" s="1"/>
  <c r="I14" i="1"/>
  <c r="C24" i="2"/>
  <c r="I23" i="2"/>
  <c r="B23" i="2"/>
  <c r="H14" i="1"/>
  <c r="J16" i="2"/>
  <c r="I23" i="1"/>
  <c r="C20" i="2"/>
  <c r="C6" i="1"/>
  <c r="C19" i="1" s="1"/>
  <c r="L8" i="1"/>
  <c r="M8" i="1" s="1"/>
  <c r="J24" i="2"/>
  <c r="G23" i="2"/>
  <c r="B20" i="2"/>
  <c r="K14" i="3"/>
  <c r="I24" i="2"/>
  <c r="H24" i="2"/>
  <c r="B16" i="2"/>
  <c r="K6" i="1"/>
  <c r="K19" i="1" s="1"/>
  <c r="G24" i="2"/>
  <c r="A1" i="2"/>
  <c r="A1" i="4" s="1"/>
  <c r="B21" i="2"/>
  <c r="L9" i="1"/>
  <c r="E16" i="2"/>
  <c r="F23" i="2"/>
  <c r="L4" i="1"/>
  <c r="L23" i="1" s="1"/>
  <c r="I6" i="1"/>
  <c r="I19" i="1" s="1"/>
  <c r="F24" i="2"/>
  <c r="F20" i="2"/>
  <c r="E24" i="2"/>
  <c r="D24" i="2"/>
  <c r="I20" i="2"/>
  <c r="H20" i="2"/>
  <c r="K23" i="1"/>
  <c r="H6" i="1"/>
  <c r="H19" i="1" s="1"/>
  <c r="F6" i="1"/>
  <c r="F19" i="1" s="1"/>
  <c r="E1" i="4"/>
  <c r="M9" i="1" l="1"/>
  <c r="N9" i="1"/>
  <c r="L57" i="8"/>
  <c r="D6" i="24"/>
  <c r="E7" i="23"/>
  <c r="N11" i="1"/>
  <c r="C57" i="8"/>
  <c r="B8" i="23"/>
  <c r="B9" i="23" s="1"/>
  <c r="B10" i="23" s="1"/>
  <c r="B11" i="23" s="1"/>
  <c r="D4" i="24"/>
  <c r="E4" i="24" s="1"/>
  <c r="F4" i="24" s="1"/>
  <c r="G4" i="24" s="1"/>
  <c r="H4" i="24" s="1"/>
  <c r="D8" i="24"/>
  <c r="G8" i="24"/>
  <c r="G9" i="24" s="1"/>
  <c r="H9" i="24" s="1"/>
  <c r="F8" i="24"/>
  <c r="F9" i="24" s="1"/>
  <c r="E8" i="24"/>
  <c r="H8" i="24"/>
  <c r="H12" i="24" s="1"/>
  <c r="C8" i="24"/>
  <c r="F12" i="24"/>
  <c r="K24" i="1"/>
  <c r="I24" i="1"/>
  <c r="I25" i="1"/>
  <c r="M11" i="1"/>
  <c r="K25" i="1"/>
  <c r="M25" i="1" s="1"/>
  <c r="M14" i="1" s="1"/>
  <c r="J25" i="1"/>
  <c r="L19" i="8"/>
  <c r="H24" i="1"/>
  <c r="J24" i="1"/>
  <c r="D14" i="1"/>
  <c r="H25" i="1" s="1"/>
  <c r="M33" i="8"/>
  <c r="M34" i="8" s="1"/>
  <c r="M23" i="1"/>
  <c r="M4" i="1" s="1"/>
  <c r="N8" i="1"/>
  <c r="L13" i="8"/>
  <c r="E18" i="8"/>
  <c r="E13" i="8"/>
  <c r="F18" i="8"/>
  <c r="F13" i="8"/>
  <c r="J18" i="8"/>
  <c r="J13" i="8"/>
  <c r="H18" i="8"/>
  <c r="H13" i="8"/>
  <c r="K18" i="8"/>
  <c r="K13" i="8"/>
  <c r="G18" i="8"/>
  <c r="G13" i="8"/>
  <c r="I18" i="8"/>
  <c r="I13" i="8"/>
  <c r="D18" i="8"/>
  <c r="D13" i="8"/>
  <c r="C18" i="8"/>
  <c r="C13" i="8"/>
  <c r="N23" i="1"/>
  <c r="N4" i="1" s="1"/>
  <c r="L19" i="1"/>
  <c r="L24" i="1" s="1"/>
  <c r="G12" i="24" l="1"/>
  <c r="M24" i="1"/>
  <c r="M6" i="1" s="1"/>
  <c r="M10" i="1" s="1"/>
  <c r="M12" i="1" s="1"/>
  <c r="M13" i="1" s="1"/>
  <c r="M15" i="1" s="1"/>
  <c r="D9" i="24"/>
  <c r="D10" i="24" s="1"/>
  <c r="D12" i="24"/>
  <c r="D19" i="24"/>
  <c r="E9" i="24"/>
  <c r="E12" i="24"/>
  <c r="N25" i="1"/>
  <c r="N14" i="1" s="1"/>
  <c r="L28" i="8"/>
  <c r="L33" i="8"/>
  <c r="E6" i="23" s="1"/>
  <c r="H6" i="23" s="1"/>
  <c r="L31" i="8"/>
  <c r="G19" i="8"/>
  <c r="K19" i="8"/>
  <c r="H19" i="8"/>
  <c r="C19" i="8"/>
  <c r="J19" i="8"/>
  <c r="D19" i="8"/>
  <c r="F19" i="8"/>
  <c r="I19" i="8"/>
  <c r="E19" i="8"/>
  <c r="N24" i="1"/>
  <c r="N6" i="1" s="1"/>
  <c r="M5" i="1" l="1"/>
  <c r="D14" i="24"/>
  <c r="L9" i="17"/>
  <c r="C6" i="23" s="1"/>
  <c r="C7" i="24" s="1"/>
  <c r="C9" i="24" s="1"/>
  <c r="C10" i="24" s="1"/>
  <c r="L10" i="17"/>
  <c r="L34" i="8"/>
  <c r="L38" i="8"/>
  <c r="L42" i="8" s="1"/>
  <c r="F6" i="23" s="1"/>
  <c r="D28" i="8"/>
  <c r="D33" i="8"/>
  <c r="D31" i="8"/>
  <c r="J31" i="8"/>
  <c r="J28" i="8"/>
  <c r="J33" i="8"/>
  <c r="C33" i="8"/>
  <c r="C31" i="8"/>
  <c r="C28" i="8"/>
  <c r="E28" i="8"/>
  <c r="E33" i="8"/>
  <c r="E31" i="8"/>
  <c r="H31" i="8"/>
  <c r="H28" i="8"/>
  <c r="H33" i="8"/>
  <c r="I31" i="8"/>
  <c r="I28" i="8"/>
  <c r="I33" i="8"/>
  <c r="K28" i="8"/>
  <c r="K33" i="8"/>
  <c r="K31" i="8"/>
  <c r="F33" i="8"/>
  <c r="F28" i="8"/>
  <c r="F31" i="8"/>
  <c r="G33" i="8"/>
  <c r="G28" i="8"/>
  <c r="G31" i="8"/>
  <c r="N10" i="1"/>
  <c r="N12" i="1" s="1"/>
  <c r="N13" i="1" s="1"/>
  <c r="N15" i="1" s="1"/>
  <c r="N5" i="1"/>
  <c r="L5" i="17" l="1"/>
  <c r="L44" i="8"/>
  <c r="L12" i="17"/>
  <c r="L13" i="17" s="1"/>
  <c r="L14" i="17" s="1"/>
  <c r="D9" i="17"/>
  <c r="D10" i="17"/>
  <c r="J9" i="17"/>
  <c r="J10" i="17"/>
  <c r="J5" i="17"/>
  <c r="E9" i="17"/>
  <c r="E10" i="17"/>
  <c r="E5" i="17"/>
  <c r="H9" i="17"/>
  <c r="H10" i="17"/>
  <c r="H5" i="17"/>
  <c r="I9" i="17"/>
  <c r="I10" i="17"/>
  <c r="I5" i="17"/>
  <c r="K9" i="17"/>
  <c r="K10" i="17"/>
  <c r="K5" i="17"/>
  <c r="F9" i="17"/>
  <c r="F10" i="17"/>
  <c r="F5" i="17"/>
  <c r="G9" i="17"/>
  <c r="G10" i="17"/>
  <c r="G5" i="17"/>
  <c r="C10" i="17"/>
  <c r="C9" i="17"/>
  <c r="D5" i="17"/>
  <c r="E34" i="8"/>
  <c r="E38" i="8"/>
  <c r="F34" i="8"/>
  <c r="F38" i="8"/>
  <c r="K34" i="8"/>
  <c r="K38" i="8"/>
  <c r="C34" i="8"/>
  <c r="C38" i="8"/>
  <c r="I34" i="8"/>
  <c r="I38" i="8"/>
  <c r="J34" i="8"/>
  <c r="J38" i="8"/>
  <c r="H34" i="8"/>
  <c r="H38" i="8"/>
  <c r="D34" i="8"/>
  <c r="D38" i="8"/>
  <c r="G34" i="8"/>
  <c r="G38" i="8"/>
  <c r="O9" i="17" l="1"/>
  <c r="N9" i="17"/>
  <c r="O10" i="17"/>
  <c r="N10" i="17"/>
  <c r="N5" i="17"/>
  <c r="O5" i="17"/>
  <c r="I42" i="8"/>
  <c r="I39" i="8"/>
  <c r="F39" i="8"/>
  <c r="F42" i="8"/>
  <c r="J39" i="8"/>
  <c r="J42" i="8"/>
  <c r="G39" i="8"/>
  <c r="G42" i="8"/>
  <c r="H42" i="8"/>
  <c r="H12" i="17" s="1"/>
  <c r="H13" i="17" s="1"/>
  <c r="H14" i="17" s="1"/>
  <c r="H39" i="8"/>
  <c r="C42" i="8"/>
  <c r="K39" i="8"/>
  <c r="K42" i="8"/>
  <c r="L39" i="8"/>
  <c r="D39" i="8"/>
  <c r="D42" i="8"/>
  <c r="E39" i="8"/>
  <c r="E42" i="8"/>
  <c r="H44" i="8" l="1"/>
  <c r="I44" i="8"/>
  <c r="I12" i="17"/>
  <c r="I13" i="17" s="1"/>
  <c r="I14" i="17" s="1"/>
  <c r="F44" i="8"/>
  <c r="F12" i="17"/>
  <c r="F13" i="17" s="1"/>
  <c r="F14" i="17" s="1"/>
  <c r="J44" i="8"/>
  <c r="J12" i="17"/>
  <c r="J13" i="17" s="1"/>
  <c r="J14" i="17" s="1"/>
  <c r="G44" i="8"/>
  <c r="G12" i="17"/>
  <c r="G13" i="17" s="1"/>
  <c r="G14" i="17" s="1"/>
  <c r="K44" i="8"/>
  <c r="K12" i="17"/>
  <c r="K13" i="17" s="1"/>
  <c r="K14" i="17" s="1"/>
  <c r="D44" i="8"/>
  <c r="D12" i="17"/>
  <c r="E44" i="8"/>
  <c r="E12" i="17"/>
  <c r="E13" i="17" s="1"/>
  <c r="E14" i="17" s="1"/>
  <c r="C44" i="8"/>
  <c r="C12" i="17"/>
  <c r="C13" i="17" s="1"/>
  <c r="C14" i="17" s="1"/>
  <c r="O12" i="17" l="1"/>
  <c r="N12" i="17"/>
  <c r="D13" i="17"/>
  <c r="D14" i="17" s="1"/>
  <c r="F10" i="23" l="1"/>
  <c r="F7" i="23"/>
  <c r="G7" i="23" s="1"/>
  <c r="H7" i="23" s="1"/>
  <c r="I7" i="23" s="1"/>
  <c r="D8" i="23" s="1"/>
  <c r="F8" i="23"/>
  <c r="F9" i="23"/>
  <c r="O13" i="17"/>
  <c r="N13" i="17"/>
  <c r="F11" i="23" l="1"/>
  <c r="E8" i="23"/>
  <c r="E6" i="24"/>
  <c r="E10" i="24" s="1"/>
  <c r="E14" i="24" s="1"/>
  <c r="O14" i="17"/>
  <c r="N14" i="17"/>
  <c r="G8" i="23" l="1"/>
  <c r="H8" i="23" l="1"/>
  <c r="I8" i="23" s="1"/>
  <c r="D9" i="23" s="1"/>
  <c r="E9" i="23" l="1"/>
  <c r="F6" i="24"/>
  <c r="F10" i="24" s="1"/>
  <c r="F14" i="24" s="1"/>
  <c r="G9" i="23"/>
  <c r="H9" i="23"/>
  <c r="I9" i="23" s="1"/>
  <c r="D10" i="23" s="1"/>
  <c r="E10" i="23" l="1"/>
  <c r="G6" i="24"/>
  <c r="G10" i="24" s="1"/>
  <c r="G14" i="24" s="1"/>
  <c r="G10" i="23" l="1"/>
  <c r="H10" i="23" l="1"/>
  <c r="I10" i="23" s="1"/>
  <c r="D11" i="23" s="1"/>
  <c r="E11" i="23" l="1"/>
  <c r="H6" i="24"/>
  <c r="H10" i="24" s="1"/>
  <c r="H14" i="24" s="1"/>
  <c r="D29" i="24" s="1"/>
  <c r="G11" i="23" l="1"/>
  <c r="H11" i="23" l="1"/>
  <c r="I11" i="23" s="1"/>
  <c r="D22" i="24" s="1"/>
  <c r="D23" i="24" s="1"/>
  <c r="D25" i="24" s="1"/>
  <c r="D30" i="24" s="1"/>
  <c r="D32" i="24" s="1"/>
  <c r="D35" i="24" s="1"/>
  <c r="N11" i="25" l="1"/>
  <c r="D10" i="26" s="1"/>
  <c r="G18" i="24"/>
  <c r="D38" i="24"/>
</calcChain>
</file>

<file path=xl/sharedStrings.xml><?xml version="1.0" encoding="utf-8"?>
<sst xmlns="http://schemas.openxmlformats.org/spreadsheetml/2006/main" count="416" uniqueCount="313">
  <si>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</si>
  <si>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</si>
  <si>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</si>
  <si>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</si>
  <si>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</si>
  <si>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</si>
  <si>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</si>
  <si>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</si>
  <si>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</si>
  <si>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</si>
  <si>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</si>
  <si>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</si>
  <si>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</si>
  <si>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</si>
  <si>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</si>
  <si>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</si>
  <si>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</si>
  <si>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</si>
  <si>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</si>
  <si>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</si>
  <si>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</si>
  <si>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</si>
  <si>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</si>
  <si>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</si>
  <si>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</si>
  <si>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</si>
  <si>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</si>
  <si>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</si>
  <si>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</si>
  <si>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</si>
  <si>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</si>
  <si>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</si>
  <si>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</si>
  <si>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</si>
  <si>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</si>
  <si>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</si>
  <si>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</si>
  <si>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</si>
  <si>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</si>
  <si>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</si>
  <si>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</si>
  <si>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</si>
  <si>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</si>
  <si>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</si>
  <si>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</si>
  <si>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</si>
  <si>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</si>
  <si>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</si>
  <si>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</si>
  <si>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</si>
  <si>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</si>
  <si>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</si>
  <si>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</si>
  <si>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</si>
  <si>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</si>
  <si>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</si>
  <si>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</si>
  <si>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</si>
  <si>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</si>
  <si>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</si>
  <si>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</si>
  <si>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</si>
  <si>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</si>
  <si>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</si>
  <si>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</si>
  <si>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</si>
  <si>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</si>
  <si>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</si>
  <si>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</si>
  <si>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</si>
  <si>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</si>
  <si>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</si>
  <si>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</si>
  <si>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</si>
  <si>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</si>
  <si>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</si>
  <si>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</si>
  <si>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</si>
  <si>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</si>
  <si>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</si>
  <si>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</si>
  <si>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</si>
  <si>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</si>
  <si>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</si>
  <si>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</si>
  <si>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</si>
  <si>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</si>
  <si>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</si>
  <si>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</si>
  <si>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</si>
  <si>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</si>
  <si>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</si>
  <si>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</si>
  <si>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</si>
  <si>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</si>
  <si>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#</t>
  </si>
  <si>
    <t>Income Statement</t>
  </si>
  <si>
    <t>-</t>
  </si>
  <si>
    <t>COGS</t>
  </si>
  <si>
    <t>COGS % Sales</t>
  </si>
  <si>
    <t>Gross Profit</t>
  </si>
  <si>
    <t>Selling &amp; General Expenses</t>
  </si>
  <si>
    <t>EBITDA</t>
  </si>
  <si>
    <t>EBITDA Margins</t>
  </si>
  <si>
    <t>Interest % Sales</t>
  </si>
  <si>
    <t>Depreciation % Sales</t>
  </si>
  <si>
    <t>S&amp;G Exp % Sales</t>
  </si>
  <si>
    <t>Gross Margins</t>
  </si>
  <si>
    <t>Earnings Before Tax</t>
  </si>
  <si>
    <t>EBT % Sales</t>
  </si>
  <si>
    <t xml:space="preserve"> </t>
  </si>
  <si>
    <t>Effective Tax Rate</t>
  </si>
  <si>
    <t>Net Profit</t>
  </si>
  <si>
    <t>Net Margins</t>
  </si>
  <si>
    <t>Dividend per Share</t>
  </si>
  <si>
    <t>Earnings per Share</t>
  </si>
  <si>
    <t>EPS Growth %</t>
  </si>
  <si>
    <t>Dividend payout ratio</t>
  </si>
  <si>
    <t>Retained Earnings</t>
  </si>
  <si>
    <t>Balance Sheet</t>
  </si>
  <si>
    <t>Total Liabilities</t>
  </si>
  <si>
    <t>Total Non Current Assets</t>
  </si>
  <si>
    <t>Fixed Assets Net Block</t>
  </si>
  <si>
    <t>Total Current Assets</t>
  </si>
  <si>
    <t>Total Assets</t>
  </si>
  <si>
    <t>Check</t>
  </si>
  <si>
    <t>Cash Flow Statement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</si>
  <si>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</si>
  <si>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</si>
  <si>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</si>
  <si>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</si>
  <si>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</si>
  <si>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</si>
  <si>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</si>
  <si>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</si>
  <si>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</si>
  <si>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</si>
  <si>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</si>
  <si>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</si>
  <si>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</si>
  <si>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</si>
  <si>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</si>
  <si>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</si>
  <si>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</si>
  <si>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</si>
  <si>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</si>
  <si>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</si>
  <si>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</si>
  <si>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Activities</t>
  </si>
  <si>
    <t>Cash from Investing Activities</t>
  </si>
  <si>
    <t>Cash from Financing Activities</t>
  </si>
  <si>
    <t xml:space="preserve">Net Cash Flow </t>
  </si>
  <si>
    <t>Dividend Growth</t>
  </si>
  <si>
    <t>Return on Equity%</t>
  </si>
  <si>
    <t>Year</t>
  </si>
  <si>
    <t>Particulars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</si>
  <si>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</si>
  <si>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</si>
  <si>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</si>
  <si>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</si>
  <si>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</si>
  <si>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</si>
  <si>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</si>
  <si>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</si>
  <si>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</si>
  <si>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</si>
  <si>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</si>
  <si>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</si>
  <si>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</si>
  <si>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</si>
  <si>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</si>
  <si>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</si>
  <si>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</si>
  <si>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</si>
  <si>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</si>
  <si>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</si>
  <si>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</si>
  <si>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</si>
  <si>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</si>
  <si>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</si>
  <si>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</si>
  <si>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</si>
  <si>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</si>
  <si>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</si>
  <si>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r>
      <t>Cash from Operating Activity </t>
    </r>
    <r>
      <rPr>
        <sz val="11"/>
        <color rgb="FF665EFD"/>
        <rFont val="Calibri"/>
        <family val="2"/>
        <scheme val="minor"/>
      </rPr>
      <t>-</t>
    </r>
  </si>
  <si>
    <r>
      <t>Cash from Investing Activity </t>
    </r>
    <r>
      <rPr>
        <sz val="11"/>
        <color rgb="FF665EFD"/>
        <rFont val="Calibri"/>
        <family val="2"/>
        <scheme val="minor"/>
      </rPr>
      <t>-</t>
    </r>
  </si>
  <si>
    <t>Redemp n Canc of Shares</t>
  </si>
  <si>
    <r>
      <t>Cash from Financing Activity </t>
    </r>
    <r>
      <rPr>
        <sz val="11"/>
        <color rgb="FF665EFD"/>
        <rFont val="Calibri"/>
        <family val="2"/>
        <scheme val="minor"/>
      </rPr>
      <t>-</t>
    </r>
  </si>
  <si>
    <t>PAT Growth</t>
  </si>
  <si>
    <t>Book Value Growth</t>
  </si>
  <si>
    <t>Dividend Payout Ratio</t>
  </si>
  <si>
    <t>Retention Ratio</t>
  </si>
  <si>
    <t>Sustainable Growth Rate</t>
  </si>
  <si>
    <t>Return on Markets</t>
  </si>
  <si>
    <t>Annual</t>
  </si>
  <si>
    <t>Average Returns</t>
  </si>
  <si>
    <t>Dividend Yield</t>
  </si>
  <si>
    <t>Total Market Returns</t>
  </si>
  <si>
    <t>HDFC Monthly Returns</t>
  </si>
  <si>
    <t>Date</t>
  </si>
  <si>
    <t xml:space="preserve">Adj Close </t>
  </si>
  <si>
    <t>Closing Date</t>
  </si>
  <si>
    <t>Adj Close</t>
  </si>
  <si>
    <t>Returns</t>
  </si>
  <si>
    <t>NIFTY 50 Monthly Returns</t>
  </si>
  <si>
    <t>Beta Drifting</t>
  </si>
  <si>
    <t>Levered Raw Beta</t>
  </si>
  <si>
    <t>Raw Beta Weight</t>
  </si>
  <si>
    <t>Market Beta</t>
  </si>
  <si>
    <t>Market Beta weight</t>
  </si>
  <si>
    <t>Adjusted 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</si>
  <si>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</si>
  <si>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</si>
  <si>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</si>
  <si>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</si>
  <si>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</si>
  <si>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</si>
  <si>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</si>
  <si>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</si>
  <si>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</si>
  <si>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</si>
  <si>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</si>
  <si>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</si>
  <si>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</si>
  <si>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</si>
  <si>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</si>
  <si>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</si>
  <si>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</si>
  <si>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</si>
  <si>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</si>
  <si>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</si>
  <si>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</si>
  <si>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</si>
  <si>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</si>
  <si>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</si>
  <si>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</t>
  </si>
  <si>
    <t>Regression Beta - 5 Yrs Monthly</t>
  </si>
  <si>
    <t>Risk Free Rate</t>
  </si>
  <si>
    <t>Equity Risk Premium</t>
  </si>
  <si>
    <t>Cost of Equity</t>
  </si>
  <si>
    <t>Beginning Equity</t>
  </si>
  <si>
    <t>PAT</t>
  </si>
  <si>
    <t>Dividend</t>
  </si>
  <si>
    <t>Ending Equity</t>
  </si>
  <si>
    <t>Return on Assets%</t>
  </si>
  <si>
    <t>Trendline</t>
  </si>
  <si>
    <t>Mean</t>
  </si>
  <si>
    <t>Median</t>
  </si>
  <si>
    <t>Dividend Payout %</t>
  </si>
  <si>
    <t>ROE %</t>
  </si>
  <si>
    <t>Excess Return Valuation</t>
  </si>
  <si>
    <t>ROE</t>
  </si>
  <si>
    <t>Excess Returns</t>
  </si>
  <si>
    <t>Discounting Factor</t>
  </si>
  <si>
    <t>Excess Spread</t>
  </si>
  <si>
    <t>PV of Excess Returns</t>
  </si>
  <si>
    <t>Mid Year Convention</t>
  </si>
  <si>
    <t>PV of Explicit Excess Returns</t>
  </si>
  <si>
    <t>Terminal Beginning Equity</t>
  </si>
  <si>
    <t>Terminal Excess Return</t>
  </si>
  <si>
    <t>Terminal Value</t>
  </si>
  <si>
    <t>Terminal Growth Rate</t>
  </si>
  <si>
    <t>Terminal ROE</t>
  </si>
  <si>
    <t>Terminal Cost of Equity</t>
  </si>
  <si>
    <t>Calculation of Terminal Value</t>
  </si>
  <si>
    <t>Calculation of Equity Value per Share</t>
  </si>
  <si>
    <t>PV of Terminal Value</t>
  </si>
  <si>
    <t>Value of Equity</t>
  </si>
  <si>
    <t>Shares Outstanding</t>
  </si>
  <si>
    <t>Equity Value per Share</t>
  </si>
  <si>
    <t>Share Price</t>
  </si>
  <si>
    <t>Discount/Premium</t>
  </si>
  <si>
    <t>Sensitivity Analysis - Share Price</t>
  </si>
  <si>
    <t>Equity Research &amp; Valuation Model</t>
  </si>
  <si>
    <t>Prepared by:</t>
  </si>
  <si>
    <t>Ashish Jha</t>
  </si>
  <si>
    <t>NIT Surat</t>
  </si>
  <si>
    <t>Sector:</t>
  </si>
  <si>
    <t>Company:</t>
  </si>
  <si>
    <t>Currency:</t>
  </si>
  <si>
    <t>Valuation Date:</t>
  </si>
  <si>
    <r>
      <t>INR (</t>
    </r>
    <r>
      <rPr>
        <sz val="11"/>
        <color theme="1"/>
        <rFont val="Calibri"/>
        <family val="2"/>
      </rPr>
      <t>₹)</t>
    </r>
  </si>
  <si>
    <t>Banking &amp; Financial Services (Private Sector)</t>
  </si>
  <si>
    <t>Index</t>
  </si>
  <si>
    <t>Investment Summary</t>
  </si>
  <si>
    <t>Data Sheet</t>
  </si>
  <si>
    <t>Historical Financial Statement</t>
  </si>
  <si>
    <t>Raw Financial Data</t>
  </si>
  <si>
    <t>Regression Beta</t>
  </si>
  <si>
    <t>Forecasting</t>
  </si>
  <si>
    <t>Equity Forecasting</t>
  </si>
  <si>
    <t>Excess Returns Valuation</t>
  </si>
  <si>
    <t>Model Flow</t>
  </si>
  <si>
    <t xml:space="preserve">Stage </t>
  </si>
  <si>
    <t>Purpose</t>
  </si>
  <si>
    <t>Data Collection</t>
  </si>
  <si>
    <t>Gather historical financial and market data.</t>
  </si>
  <si>
    <t>Ratio Analysis</t>
  </si>
  <si>
    <t>Analyze trends, profitability and efficiency.</t>
  </si>
  <si>
    <t>Estimate future value of equity.</t>
  </si>
  <si>
    <t>Determine value of equity.</t>
  </si>
  <si>
    <t>Investment Conclusion</t>
  </si>
  <si>
    <t>Form Investment view.</t>
  </si>
  <si>
    <t>Source: Screener, Yahoo Finance, Company Annual Reports, Aswath Damodaran reports</t>
  </si>
  <si>
    <t>Metric</t>
  </si>
  <si>
    <t>Value</t>
  </si>
  <si>
    <t>CMP</t>
  </si>
  <si>
    <t>Excess Return Value</t>
  </si>
  <si>
    <t>View</t>
  </si>
  <si>
    <t>Recommendation</t>
  </si>
  <si>
    <t xml:space="preserve"># </t>
  </si>
  <si>
    <t>Company Overview</t>
  </si>
  <si>
    <t>Excess Return Valuation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</si>
</sst>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"/>
    <numFmt numFmtId="167" formatCode="&quot;₹&quot;\ #,##0.0;\ \(&quot;₹&quot;\ #,##0.0\);\ \-"/>
    <numFmt numFmtId="168" formatCode="#,##0.0;\ \(#,##0.0\);\ \-"/>
    <numFmt numFmtId="169" formatCode="yyyy&quot;A&quot;"/>
    <numFmt numFmtId="170" formatCode="yyyy&quot;E&quot;"/>
    <numFmt numFmtId="171" formatCode="#,##0.0;\-#,##0.0"/>
    <numFmt numFmtId="172" formatCode="0.000"/>
    <numFmt numFmtId="173" formatCode="#,##0.0"/>
    <numFmt numFmtId="174" formatCode="mmm/yy&quot;E&quot;"/>
    <numFmt numFmtId="175" formatCode="0.0"/>
    <numFmt numFmtId="176" formatCode="mmm/yy&quot;A&quot;"/>
    <numFmt numFmtId="177" formatCode="#,##0.00&quot;x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606F7B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665EFD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33CC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33C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rgb="FF002060"/>
      </top>
      <bottom style="hair">
        <color rgb="FF00206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medium">
        <color rgb="FFDBE4F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9" fontId="4" fillId="0" borderId="0" applyFont="0" applyFill="0" applyBorder="0" applyAlignment="0" applyProtection="0"/>
  </cellStyleXfs>
  <cellXfs count="152">
    <xf numFmtId="0" fontId="0" fillId="0" borderId="0" xfId="0"/>
    <xf numFmtId="43" fontId="2" fillId="0" borderId="0" xfId="1" applyFont="1" applyBorder="1"/>
    <xf numFmtId="0" fontId="2" fillId="0" borderId="0" xfId="0" applyFont="1"/>
    <xf numFmtId="0" fontId="9" fillId="0" borderId="0" xfId="0" applyFont="1"/>
    <xf numFmtId="43" fontId="0" fillId="0" borderId="0" xfId="1" applyFont="1" applyBorder="1"/>
    <xf numFmtId="10" fontId="0" fillId="0" borderId="0" xfId="0" applyNumberFormat="1"/>
    <xf numFmtId="43" fontId="4" fillId="0" borderId="0" xfId="1" applyFont="1" applyBorder="1"/>
    <xf numFmtId="9" fontId="4" fillId="0" borderId="0" xfId="1" applyNumberFormat="1" applyFont="1" applyBorder="1"/>
    <xf numFmtId="43" fontId="3" fillId="2" borderId="0" xfId="3" applyNumberFormat="1" applyFont="1" applyBorder="1"/>
    <xf numFmtId="43" fontId="3" fillId="3" borderId="0" xfId="4" applyNumberFormat="1" applyFont="1" applyBorder="1"/>
    <xf numFmtId="9" fontId="2" fillId="0" borderId="0" xfId="6" applyFont="1" applyBorder="1"/>
    <xf numFmtId="0" fontId="3" fillId="5" borderId="0" xfId="0" applyFont="1" applyFill="1"/>
    <xf numFmtId="165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10" fontId="2" fillId="0" borderId="0" xfId="0" applyNumberFormat="1" applyFont="1"/>
    <xf numFmtId="165" fontId="3" fillId="5" borderId="0" xfId="1" applyNumberFormat="1" applyFont="1" applyFill="1" applyBorder="1"/>
    <xf numFmtId="165" fontId="10" fillId="0" borderId="0" xfId="1" applyNumberFormat="1" applyFont="1" applyFill="1" applyBorder="1"/>
    <xf numFmtId="0" fontId="8" fillId="0" borderId="0" xfId="0" applyFont="1"/>
    <xf numFmtId="0" fontId="0" fillId="0" borderId="0" xfId="0" applyAlignment="1">
      <alignment horizontal="left"/>
    </xf>
    <xf numFmtId="0" fontId="7" fillId="0" borderId="0" xfId="2" applyFont="1" applyBorder="1" applyAlignment="1" applyProtection="1">
      <alignment horizontal="left"/>
    </xf>
    <xf numFmtId="0" fontId="7" fillId="0" borderId="0" xfId="2" applyFont="1" applyBorder="1" applyAlignment="1" applyProtection="1"/>
    <xf numFmtId="0" fontId="10" fillId="0" borderId="0" xfId="0" applyFont="1"/>
    <xf numFmtId="164" fontId="0" fillId="0" borderId="0" xfId="1" applyNumberFormat="1" applyFont="1" applyBorder="1"/>
    <xf numFmtId="166" fontId="0" fillId="0" borderId="0" xfId="0" applyNumberFormat="1"/>
    <xf numFmtId="10" fontId="0" fillId="0" borderId="0" xfId="6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10" fontId="11" fillId="0" borderId="0" xfId="6" applyNumberFormat="1" applyFont="1"/>
    <xf numFmtId="0" fontId="3" fillId="6" borderId="0" xfId="0" applyFont="1" applyFill="1"/>
    <xf numFmtId="17" fontId="3" fillId="6" borderId="0" xfId="0" applyNumberFormat="1" applyFont="1" applyFill="1"/>
    <xf numFmtId="17" fontId="3" fillId="6" borderId="0" xfId="0" applyNumberFormat="1" applyFont="1" applyFill="1" applyAlignment="1">
      <alignment horizontal="right"/>
    </xf>
    <xf numFmtId="0" fontId="2" fillId="7" borderId="0" xfId="0" applyFont="1" applyFill="1"/>
    <xf numFmtId="0" fontId="0" fillId="7" borderId="0" xfId="0" applyFill="1"/>
    <xf numFmtId="167" fontId="0" fillId="0" borderId="0" xfId="0" applyNumberFormat="1"/>
    <xf numFmtId="0" fontId="12" fillId="0" borderId="0" xfId="0" applyFont="1"/>
    <xf numFmtId="3" fontId="0" fillId="0" borderId="0" xfId="0" applyNumberFormat="1"/>
    <xf numFmtId="167" fontId="2" fillId="0" borderId="0" xfId="0" applyNumberFormat="1" applyFont="1"/>
    <xf numFmtId="0" fontId="2" fillId="0" borderId="1" xfId="0" applyFont="1" applyBorder="1"/>
    <xf numFmtId="167" fontId="2" fillId="0" borderId="1" xfId="0" applyNumberFormat="1" applyFont="1" applyBorder="1"/>
    <xf numFmtId="0" fontId="0" fillId="0" borderId="2" xfId="0" applyBorder="1"/>
    <xf numFmtId="0" fontId="0" fillId="0" borderId="3" xfId="0" applyBorder="1"/>
    <xf numFmtId="4" fontId="0" fillId="0" borderId="0" xfId="0" applyNumberFormat="1"/>
    <xf numFmtId="0" fontId="13" fillId="8" borderId="0" xfId="0" applyFont="1" applyFill="1"/>
    <xf numFmtId="17" fontId="13" fillId="8" borderId="0" xfId="0" applyNumberFormat="1" applyFont="1" applyFill="1"/>
    <xf numFmtId="0" fontId="14" fillId="0" borderId="0" xfId="0" applyFont="1"/>
    <xf numFmtId="168" fontId="0" fillId="0" borderId="4" xfId="0" applyNumberFormat="1" applyBorder="1"/>
    <xf numFmtId="0" fontId="0" fillId="0" borderId="4" xfId="0" applyBorder="1"/>
    <xf numFmtId="168" fontId="0" fillId="0" borderId="2" xfId="0" applyNumberFormat="1" applyBorder="1"/>
    <xf numFmtId="0" fontId="14" fillId="0" borderId="5" xfId="0" applyFont="1" applyBorder="1"/>
    <xf numFmtId="168" fontId="14" fillId="0" borderId="5" xfId="0" applyNumberFormat="1" applyFont="1" applyBorder="1"/>
    <xf numFmtId="3" fontId="14" fillId="0" borderId="0" xfId="0" applyNumberFormat="1" applyFont="1"/>
    <xf numFmtId="168" fontId="14" fillId="0" borderId="4" xfId="0" applyNumberFormat="1" applyFont="1" applyBorder="1"/>
    <xf numFmtId="0" fontId="14" fillId="0" borderId="6" xfId="0" applyFont="1" applyBorder="1"/>
    <xf numFmtId="168" fontId="0" fillId="0" borderId="7" xfId="0" applyNumberFormat="1" applyBorder="1"/>
    <xf numFmtId="168" fontId="0" fillId="0" borderId="3" xfId="0" applyNumberFormat="1" applyBorder="1"/>
    <xf numFmtId="0" fontId="14" fillId="0" borderId="8" xfId="0" applyFont="1" applyBorder="1"/>
    <xf numFmtId="168" fontId="14" fillId="0" borderId="8" xfId="0" applyNumberFormat="1" applyFont="1" applyBorder="1"/>
    <xf numFmtId="0" fontId="3" fillId="8" borderId="0" xfId="0" applyFont="1" applyFill="1"/>
    <xf numFmtId="0" fontId="6" fillId="8" borderId="0" xfId="0" applyFont="1" applyFill="1"/>
    <xf numFmtId="17" fontId="3" fillId="8" borderId="0" xfId="0" applyNumberFormat="1" applyFont="1" applyFill="1"/>
    <xf numFmtId="0" fontId="2" fillId="0" borderId="9" xfId="0" applyFont="1" applyBorder="1"/>
    <xf numFmtId="17" fontId="15" fillId="9" borderId="0" xfId="0" applyNumberFormat="1" applyFont="1" applyFill="1" applyAlignment="1">
      <alignment horizontal="right" vertical="center" wrapText="1"/>
    </xf>
    <xf numFmtId="3" fontId="16" fillId="10" borderId="10" xfId="0" applyNumberFormat="1" applyFont="1" applyFill="1" applyBorder="1" applyAlignment="1">
      <alignment horizontal="right" vertical="center" wrapText="1"/>
    </xf>
    <xf numFmtId="0" fontId="16" fillId="10" borderId="10" xfId="0" applyFont="1" applyFill="1" applyBorder="1" applyAlignment="1">
      <alignment horizontal="right" vertical="center" wrapText="1"/>
    </xf>
    <xf numFmtId="0" fontId="0" fillId="10" borderId="0" xfId="0" applyFill="1" applyAlignment="1">
      <alignment horizontal="right" vertical="center" wrapText="1"/>
    </xf>
    <xf numFmtId="3" fontId="0" fillId="10" borderId="0" xfId="0" applyNumberFormat="1" applyFill="1" applyAlignment="1">
      <alignment horizontal="right" vertical="center" wrapText="1"/>
    </xf>
    <xf numFmtId="0" fontId="16" fillId="9" borderId="10" xfId="0" applyFont="1" applyFill="1" applyBorder="1" applyAlignment="1">
      <alignment horizontal="right" vertical="center" wrapText="1"/>
    </xf>
    <xf numFmtId="3" fontId="16" fillId="9" borderId="10" xfId="0" applyNumberFormat="1" applyFont="1" applyFill="1" applyBorder="1" applyAlignment="1">
      <alignment horizontal="right" vertical="center" wrapText="1"/>
    </xf>
    <xf numFmtId="0" fontId="0" fillId="9" borderId="0" xfId="0" applyFill="1" applyAlignment="1">
      <alignment horizontal="right" vertical="center" wrapText="1"/>
    </xf>
    <xf numFmtId="3" fontId="0" fillId="9" borderId="0" xfId="0" applyNumberFormat="1" applyFill="1" applyAlignment="1">
      <alignment horizontal="right" vertical="center" wrapText="1"/>
    </xf>
    <xf numFmtId="0" fontId="16" fillId="10" borderId="10" xfId="0" applyFont="1" applyFill="1" applyBorder="1" applyAlignment="1">
      <alignment vertical="center"/>
    </xf>
    <xf numFmtId="0" fontId="0" fillId="10" borderId="0" xfId="0" applyFill="1" applyAlignment="1">
      <alignment vertical="center"/>
    </xf>
    <xf numFmtId="0" fontId="16" fillId="9" borderId="10" xfId="0" applyFont="1" applyFill="1" applyBorder="1" applyAlignment="1">
      <alignment vertical="center"/>
    </xf>
    <xf numFmtId="0" fontId="0" fillId="9" borderId="0" xfId="0" applyFill="1" applyAlignment="1">
      <alignment vertical="center"/>
    </xf>
    <xf numFmtId="10" fontId="0" fillId="0" borderId="4" xfId="0" applyNumberFormat="1" applyBorder="1"/>
    <xf numFmtId="17" fontId="3" fillId="8" borderId="0" xfId="0" applyNumberFormat="1" applyFont="1" applyFill="1" applyAlignment="1">
      <alignment horizontal="right"/>
    </xf>
    <xf numFmtId="10" fontId="0" fillId="0" borderId="0" xfId="6" applyNumberFormat="1" applyFont="1" applyAlignment="1">
      <alignment horizontal="right"/>
    </xf>
    <xf numFmtId="10" fontId="0" fillId="0" borderId="0" xfId="6" applyNumberFormat="1" applyFont="1" applyBorder="1"/>
    <xf numFmtId="10" fontId="0" fillId="0" borderId="2" xfId="6" applyNumberFormat="1" applyFont="1" applyBorder="1"/>
    <xf numFmtId="10" fontId="0" fillId="0" borderId="3" xfId="6" applyNumberFormat="1" applyFont="1" applyBorder="1"/>
    <xf numFmtId="10" fontId="0" fillId="0" borderId="2" xfId="0" applyNumberFormat="1" applyBorder="1"/>
    <xf numFmtId="10" fontId="0" fillId="0" borderId="3" xfId="0" applyNumberFormat="1" applyBorder="1"/>
    <xf numFmtId="9" fontId="0" fillId="0" borderId="0" xfId="6" applyFont="1"/>
    <xf numFmtId="0" fontId="2" fillId="0" borderId="11" xfId="0" applyFont="1" applyBorder="1" applyAlignment="1">
      <alignment horizontal="right"/>
    </xf>
    <xf numFmtId="0" fontId="3" fillId="8" borderId="0" xfId="0" applyFont="1" applyFill="1" applyAlignment="1">
      <alignment horizontal="left"/>
    </xf>
    <xf numFmtId="0" fontId="2" fillId="0" borderId="11" xfId="0" applyFont="1" applyBorder="1" applyAlignment="1">
      <alignment horizontal="left"/>
    </xf>
    <xf numFmtId="0" fontId="2" fillId="11" borderId="12" xfId="0" applyFont="1" applyFill="1" applyBorder="1"/>
    <xf numFmtId="10" fontId="2" fillId="11" borderId="12" xfId="0" applyNumberFormat="1" applyFont="1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3" xfId="0" applyFont="1" applyBorder="1"/>
    <xf numFmtId="4" fontId="0" fillId="0" borderId="0" xfId="0" applyNumberFormat="1" applyAlignment="1">
      <alignment horizontal="right" vertical="center" wrapText="1"/>
    </xf>
    <xf numFmtId="0" fontId="2" fillId="0" borderId="3" xfId="0" applyFont="1" applyBorder="1" applyAlignment="1">
      <alignment horizontal="right"/>
    </xf>
    <xf numFmtId="14" fontId="0" fillId="0" borderId="0" xfId="0" applyNumberFormat="1" applyAlignment="1">
      <alignment horizontal="left" vertical="center" wrapText="1"/>
    </xf>
    <xf numFmtId="0" fontId="18" fillId="0" borderId="0" xfId="0" applyFont="1"/>
    <xf numFmtId="0" fontId="0" fillId="11" borderId="0" xfId="0" applyFill="1"/>
    <xf numFmtId="0" fontId="0" fillId="0" borderId="13" xfId="0" applyBorder="1"/>
    <xf numFmtId="0" fontId="12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Continuous"/>
    </xf>
    <xf numFmtId="4" fontId="0" fillId="11" borderId="0" xfId="0" applyNumberFormat="1" applyFill="1"/>
    <xf numFmtId="0" fontId="0" fillId="11" borderId="9" xfId="0" applyFill="1" applyBorder="1"/>
    <xf numFmtId="10" fontId="0" fillId="11" borderId="9" xfId="6" applyNumberFormat="1" applyFont="1" applyFill="1" applyBorder="1"/>
    <xf numFmtId="10" fontId="19" fillId="0" borderId="0" xfId="0" applyNumberFormat="1" applyFont="1"/>
    <xf numFmtId="17" fontId="3" fillId="8" borderId="0" xfId="0" applyNumberFormat="1" applyFont="1" applyFill="1" applyAlignment="1">
      <alignment horizontal="center"/>
    </xf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0" fontId="2" fillId="0" borderId="0" xfId="0" applyFont="1" applyAlignment="1">
      <alignment horizontal="right"/>
    </xf>
    <xf numFmtId="0" fontId="2" fillId="0" borderId="11" xfId="0" applyFont="1" applyBorder="1"/>
    <xf numFmtId="167" fontId="0" fillId="0" borderId="0" xfId="0" applyNumberFormat="1" applyAlignment="1">
      <alignment horizontal="right"/>
    </xf>
    <xf numFmtId="0" fontId="2" fillId="0" borderId="11" xfId="0" applyFont="1" applyBorder="1" applyAlignment="1">
      <alignment horizontal="right" wrapText="1"/>
    </xf>
    <xf numFmtId="171" fontId="0" fillId="0" borderId="0" xfId="0" applyNumberFormat="1"/>
    <xf numFmtId="0" fontId="20" fillId="6" borderId="0" xfId="0" applyFont="1" applyFill="1"/>
    <xf numFmtId="172" fontId="0" fillId="0" borderId="0" xfId="0" applyNumberFormat="1"/>
    <xf numFmtId="2" fontId="0" fillId="0" borderId="0" xfId="0" applyNumberFormat="1"/>
    <xf numFmtId="173" fontId="0" fillId="0" borderId="0" xfId="0" applyNumberFormat="1"/>
    <xf numFmtId="174" fontId="3" fillId="8" borderId="0" xfId="0" applyNumberFormat="1" applyFont="1" applyFill="1"/>
    <xf numFmtId="173" fontId="0" fillId="0" borderId="4" xfId="0" applyNumberFormat="1" applyBorder="1"/>
    <xf numFmtId="173" fontId="19" fillId="0" borderId="4" xfId="0" applyNumberFormat="1" applyFont="1" applyBorder="1"/>
    <xf numFmtId="172" fontId="0" fillId="0" borderId="4" xfId="0" applyNumberFormat="1" applyBorder="1"/>
    <xf numFmtId="173" fontId="2" fillId="0" borderId="0" xfId="0" applyNumberFormat="1" applyFont="1"/>
    <xf numFmtId="173" fontId="2" fillId="0" borderId="9" xfId="0" applyNumberFormat="1" applyFont="1" applyBorder="1"/>
    <xf numFmtId="10" fontId="10" fillId="0" borderId="0" xfId="0" applyNumberFormat="1" applyFont="1"/>
    <xf numFmtId="175" fontId="0" fillId="0" borderId="0" xfId="0" applyNumberFormat="1"/>
    <xf numFmtId="176" fontId="3" fillId="8" borderId="0" xfId="0" applyNumberFormat="1" applyFont="1" applyFill="1"/>
    <xf numFmtId="43" fontId="0" fillId="0" borderId="0" xfId="0" applyNumberFormat="1"/>
    <xf numFmtId="0" fontId="2" fillId="0" borderId="12" xfId="0" applyFont="1" applyBorder="1"/>
    <xf numFmtId="173" fontId="2" fillId="0" borderId="12" xfId="0" applyNumberFormat="1" applyFont="1" applyBorder="1"/>
    <xf numFmtId="0" fontId="21" fillId="6" borderId="0" xfId="0" applyFont="1" applyFill="1"/>
    <xf numFmtId="43" fontId="2" fillId="0" borderId="9" xfId="0" applyNumberFormat="1" applyFont="1" applyBorder="1"/>
    <xf numFmtId="177" fontId="0" fillId="0" borderId="0" xfId="6" applyNumberFormat="1" applyFont="1"/>
    <xf numFmtId="43" fontId="6" fillId="0" borderId="0" xfId="0" applyNumberFormat="1" applyFont="1"/>
    <xf numFmtId="175" fontId="0" fillId="11" borderId="0" xfId="0" applyNumberFormat="1" applyFill="1"/>
    <xf numFmtId="43" fontId="22" fillId="8" borderId="0" xfId="0" applyNumberFormat="1" applyFont="1" applyFill="1"/>
    <xf numFmtId="0" fontId="23" fillId="8" borderId="0" xfId="0" applyFont="1" applyFill="1"/>
    <xf numFmtId="43" fontId="0" fillId="0" borderId="0" xfId="0" applyNumberFormat="1" applyAlignment="1">
      <alignment horizontal="right"/>
    </xf>
    <xf numFmtId="0" fontId="0" fillId="0" borderId="0" xfId="0" applyAlignment="1">
      <alignment vertical="top"/>
    </xf>
    <xf numFmtId="0" fontId="19" fillId="0" borderId="0" xfId="0" applyFont="1"/>
    <xf numFmtId="0" fontId="24" fillId="0" borderId="0" xfId="2" applyFont="1" applyAlignment="1" applyProtection="1"/>
    <xf numFmtId="0" fontId="0" fillId="0" borderId="0" xfId="0" applyAlignment="1">
      <alignment horizontal="right"/>
    </xf>
    <xf numFmtId="0" fontId="2" fillId="12" borderId="0" xfId="0" applyFont="1" applyFill="1"/>
    <xf numFmtId="17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43" fontId="5" fillId="0" borderId="0" xfId="2" applyNumberFormat="1" applyBorder="1" applyAlignment="1" applyProtection="1">
      <alignment horizontal="center"/>
    </xf>
    <xf numFmtId="43" fontId="3" fillId="4" borderId="0" xfId="5" applyNumberFormat="1" applyFont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33CC"/>
      <color rgb="FF003399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101600</xdr:colOff>
      <xdr:row>0</xdr:row>
      <xdr:rowOff>0</xdr:rowOff>
    </xdr:from>
    <xdr:to>
      <xdr:col>13</xdr:col>
      <xdr:colOff>527050</xdr:colOff>
      <xdr:row>5</xdr:row>
      <xdr:rowOff>95250</xdr:rowOff>
    </xdr:to>
    <xdr:pic>
      <xdr:nvPicPr>
        <xdr:cNvPr id="3" name="Picture 2" descr="HDFC Bank Logo, symbol, meaning, history, PNG, brand">
          <a:extLst>
            <a:ext uri="{FF2B5EF4-FFF2-40B4-BE49-F238E27FC236}">
              <a16:creationId xmlns:a16="http://schemas.microsoft.com/office/drawing/2014/main" id="{AE2A577E-0064-ADFE-1A1D-810A12C11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965950" y="0"/>
          <a:ext cx="1955800" cy="107950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412750</xdr:colOff>
      <xdr:row>38</xdr:row>
      <xdr:rowOff>31750</xdr:rowOff>
    </xdr:from>
    <xdr:to>
      <xdr:col>3</xdr:col>
      <xdr:colOff>419100</xdr:colOff>
      <xdr:row>39</xdr:row>
      <xdr:rowOff>177800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917C59F-E06D-DD77-E541-7F83C06F75FB}"/>
            </a:ext>
          </a:extLst>
        </xdr:cNvPr>
        <xdr:cNvCxnSpPr/>
      </xdr:nvCxnSpPr>
      <xdr:spPr>
        <a:xfrm>
          <a:off x="1758950" y="6546850"/>
          <a:ext cx="6350" cy="33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41</xdr:row>
      <xdr:rowOff>25400</xdr:rowOff>
    </xdr:from>
    <xdr:to>
      <xdr:col>3</xdr:col>
      <xdr:colOff>412750</xdr:colOff>
      <xdr:row>43</xdr:row>
      <xdr:rowOff>12700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01139A4-B28B-78E6-0BDE-CA537B71DAF7}"/>
            </a:ext>
          </a:extLst>
        </xdr:cNvPr>
        <xdr:cNvCxnSpPr/>
      </xdr:nvCxnSpPr>
      <xdr:spPr>
        <a:xfrm>
          <a:off x="1758950" y="7092950"/>
          <a:ext cx="0" cy="355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44</xdr:row>
      <xdr:rowOff>50800</xdr:rowOff>
    </xdr:from>
    <xdr:to>
      <xdr:col>3</xdr:col>
      <xdr:colOff>419100</xdr:colOff>
      <xdr:row>46</xdr:row>
      <xdr:rowOff>12700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EDA6D12-1D20-ACD6-8C89-09CF44D62C7B}"/>
            </a:ext>
          </a:extLst>
        </xdr:cNvPr>
        <xdr:cNvCxnSpPr/>
      </xdr:nvCxnSpPr>
      <xdr:spPr>
        <a:xfrm flipH="1">
          <a:off x="1758950" y="7670800"/>
          <a:ext cx="6350" cy="33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406400</xdr:colOff>
      <xdr:row>47</xdr:row>
      <xdr:rowOff>25400</xdr:rowOff>
    </xdr:from>
    <xdr:to>
      <xdr:col>3</xdr:col>
      <xdr:colOff>406400</xdr:colOff>
      <xdr:row>49</xdr:row>
      <xdr:rowOff>19050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AA632BE-6DDF-F5B6-4110-BC7BE007453B}"/>
            </a:ext>
          </a:extLst>
        </xdr:cNvPr>
        <xdr:cNvCxnSpPr/>
      </xdr:nvCxnSpPr>
      <xdr:spPr>
        <a:xfrm>
          <a:off x="1752600" y="8197850"/>
          <a:ext cx="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14</xdr:col>
      <xdr:colOff>122089</xdr:colOff>
      <xdr:row>5</xdr:row>
      <xdr:rowOff>94836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E5D299-ABD8-C18E-7DAE-F2DA45FC8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000" y="0"/>
          <a:ext cx="1950889" cy="10790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24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HDFC BANK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73271.350000000006</v>
      </c>
      <c r="C4" s="1">
        <f>'Data Sheet'!C17</f>
        <v>85287.84</v>
      </c>
      <c r="D4" s="1">
        <f>'Data Sheet'!D17</f>
        <v>105160.74</v>
      </c>
      <c r="E4" s="1">
        <f>'Data Sheet'!E17</f>
        <v>122189.29</v>
      </c>
      <c r="F4" s="1">
        <f>'Data Sheet'!F17</f>
        <v>128552.4</v>
      </c>
      <c r="G4" s="1">
        <f>'Data Sheet'!G17</f>
        <v>135936.41</v>
      </c>
      <c r="H4" s="1">
        <f>'Data Sheet'!H17</f>
        <v>170754.05</v>
      </c>
      <c r="I4" s="1">
        <f>'Data Sheet'!I17</f>
        <v>283649.02</v>
      </c>
      <c r="J4" s="1">
        <f>'Data Sheet'!J17</f>
        <v>336367.43</v>
      </c>
      <c r="K4" s="1">
        <f>'Data Sheet'!K17</f>
        <v>348615.15</v>
      </c>
      <c r="L4" s="1">
        <f>SUM(Quarters!H4:K4)</f>
        <v>348615.15</v>
      </c>
      <c r="M4" s="1">
        <f>$K4+M23*K4</f>
        <v>442253.56021524366</v>
      </c>
      <c r="N4" s="1">
        <f>$K4+N23*L4</f>
        <v>361308.83067222807</v>
      </c>
    </row>
    <row r="5" spans="1:14" x14ac:dyDescent="0.35">
      <c r="A5" t="s">
        <v>7</v>
      </c>
      <c r="B5" s="6">
        <f>SUM('Data Sheet'!B18,'Data Sheet'!B20:B24, -1*'Data Sheet'!B19)</f>
        <v>23855.69</v>
      </c>
      <c r="C5" s="6">
        <f>SUM('Data Sheet'!C18,'Data Sheet'!C20:C24, -1*'Data Sheet'!C19)</f>
        <v>29532.26</v>
      </c>
      <c r="D5" s="6">
        <f>SUM('Data Sheet'!D18,'Data Sheet'!D20:D24, -1*'Data Sheet'!D19)</f>
        <v>34856.270000000004</v>
      </c>
      <c r="E5" s="6">
        <f>SUM('Data Sheet'!E18,'Data Sheet'!E20:E24, -1*'Data Sheet'!E19)</f>
        <v>45459.210000000006</v>
      </c>
      <c r="F5" s="6">
        <f>SUM('Data Sheet'!F18,'Data Sheet'!F20:F24, -1*'Data Sheet'!F19)</f>
        <v>52456.53</v>
      </c>
      <c r="G5" s="6">
        <f>SUM('Data Sheet'!G18,'Data Sheet'!G20:G24, -1*'Data Sheet'!G19)</f>
        <v>56556.959999999992</v>
      </c>
      <c r="H5" s="6">
        <f>SUM('Data Sheet'!H18,'Data Sheet'!H20:H24, -1*'Data Sheet'!H19)</f>
        <v>63042.3</v>
      </c>
      <c r="I5" s="6">
        <f>SUM('Data Sheet'!I18,'Data Sheet'!I20:I24, -1*'Data Sheet'!I19)</f>
        <v>174195.53999999998</v>
      </c>
      <c r="J5" s="6">
        <f>SUM('Data Sheet'!J18,'Data Sheet'!J20:J24, -1*'Data Sheet'!J19)</f>
        <v>186974.45</v>
      </c>
      <c r="K5" s="6">
        <f>SUM('Data Sheet'!K18,'Data Sheet'!K20:K24, -1*'Data Sheet'!K19)</f>
        <v>207830.13</v>
      </c>
      <c r="L5" s="6">
        <f>SUM(Quarters!H5:K5)</f>
        <v>207830.13</v>
      </c>
      <c r="M5" s="6">
        <f t="shared" ref="M5:N5" si="0">M4-M6</f>
        <v>259791.57487005467</v>
      </c>
      <c r="N5" s="6">
        <f t="shared" si="0"/>
        <v>215397.58455350305</v>
      </c>
    </row>
    <row r="6" spans="1:14" s="2" customFormat="1" x14ac:dyDescent="0.35">
      <c r="A6" s="2" t="s">
        <v>8</v>
      </c>
      <c r="B6" s="1">
        <f>B4-B5</f>
        <v>49415.66</v>
      </c>
      <c r="C6" s="1">
        <f t="shared" ref="C6:K6" si="1">C4-C5</f>
        <v>55755.58</v>
      </c>
      <c r="D6" s="1">
        <f t="shared" si="1"/>
        <v>70304.47</v>
      </c>
      <c r="E6" s="1">
        <f t="shared" si="1"/>
        <v>76730.079999999987</v>
      </c>
      <c r="F6" s="1">
        <f t="shared" si="1"/>
        <v>76095.87</v>
      </c>
      <c r="G6" s="1">
        <f t="shared" si="1"/>
        <v>79379.450000000012</v>
      </c>
      <c r="H6" s="1">
        <f t="shared" si="1"/>
        <v>107711.74999999999</v>
      </c>
      <c r="I6" s="1">
        <f t="shared" si="1"/>
        <v>109453.48000000004</v>
      </c>
      <c r="J6" s="1">
        <f t="shared" si="1"/>
        <v>149392.97999999998</v>
      </c>
      <c r="K6" s="1">
        <f t="shared" si="1"/>
        <v>140785.02000000002</v>
      </c>
      <c r="L6" s="1">
        <f>SUM(Quarters!H6:K6)</f>
        <v>140785.01999999999</v>
      </c>
      <c r="M6" s="1">
        <f>M4*M24</f>
        <v>182461.98534518899</v>
      </c>
      <c r="N6" s="1">
        <f>N4*N24</f>
        <v>145911.24611872502</v>
      </c>
    </row>
    <row r="7" spans="1:14" x14ac:dyDescent="0.35">
      <c r="A7" t="s">
        <v>9</v>
      </c>
      <c r="B7" s="6">
        <f>'Data Sheet'!B25</f>
        <v>12905.08</v>
      </c>
      <c r="C7" s="6">
        <f>'Data Sheet'!C25</f>
        <v>16056.6</v>
      </c>
      <c r="D7" s="6">
        <f>'Data Sheet'!D25</f>
        <v>18947.05</v>
      </c>
      <c r="E7" s="6">
        <f>'Data Sheet'!E25</f>
        <v>24878.97</v>
      </c>
      <c r="F7" s="6">
        <f>'Data Sheet'!F25</f>
        <v>27332.880000000001</v>
      </c>
      <c r="G7" s="6">
        <f>'Data Sheet'!G25</f>
        <v>31758.99</v>
      </c>
      <c r="H7" s="6">
        <f>'Data Sheet'!H25</f>
        <v>33912.050000000003</v>
      </c>
      <c r="I7" s="6">
        <f>'Data Sheet'!I25</f>
        <v>124345.75</v>
      </c>
      <c r="J7" s="6">
        <f>'Data Sheet'!J25</f>
        <v>134548.5</v>
      </c>
      <c r="K7" s="6">
        <f>'Data Sheet'!K25</f>
        <v>146847.66</v>
      </c>
      <c r="L7" s="6">
        <f>SUM(Quarters!H7:K7)</f>
        <v>146847.66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886.19</v>
      </c>
      <c r="C8" s="6">
        <f>'Data Sheet'!C26</f>
        <v>966.78</v>
      </c>
      <c r="D8" s="6">
        <f>'Data Sheet'!D26</f>
        <v>1220.67</v>
      </c>
      <c r="E8" s="6">
        <f>'Data Sheet'!E26</f>
        <v>1276.77</v>
      </c>
      <c r="F8" s="6">
        <f>'Data Sheet'!F26</f>
        <v>1385.01</v>
      </c>
      <c r="G8" s="6">
        <f>'Data Sheet'!G26</f>
        <v>1680.73</v>
      </c>
      <c r="H8" s="6">
        <f>'Data Sheet'!H26</f>
        <v>2345.4699999999998</v>
      </c>
      <c r="I8" s="6">
        <f>'Data Sheet'!I26</f>
        <v>3092.08</v>
      </c>
      <c r="J8" s="6">
        <f>'Data Sheet'!J26</f>
        <v>3805.23</v>
      </c>
      <c r="K8" s="6">
        <f>'Data Sheet'!K26</f>
        <v>0</v>
      </c>
      <c r="L8" s="6">
        <f>SUM(Quarters!H8:K8)</f>
        <v>0</v>
      </c>
      <c r="M8" s="6">
        <f>+$L8</f>
        <v>0</v>
      </c>
      <c r="N8" s="6">
        <f>+$L8</f>
        <v>0</v>
      </c>
    </row>
    <row r="9" spans="1:14" x14ac:dyDescent="0.35">
      <c r="A9" t="s">
        <v>11</v>
      </c>
      <c r="B9" s="6">
        <f>'Data Sheet'!B27</f>
        <v>38041.58</v>
      </c>
      <c r="C9" s="6">
        <f>'Data Sheet'!C27</f>
        <v>42381.48</v>
      </c>
      <c r="D9" s="6">
        <f>'Data Sheet'!D27</f>
        <v>53712.69</v>
      </c>
      <c r="E9" s="6">
        <f>'Data Sheet'!E27</f>
        <v>62137.42</v>
      </c>
      <c r="F9" s="6">
        <f>'Data Sheet'!F27</f>
        <v>59247.59</v>
      </c>
      <c r="G9" s="6">
        <f>'Data Sheet'!G27</f>
        <v>58584.33</v>
      </c>
      <c r="H9" s="6">
        <f>'Data Sheet'!H27</f>
        <v>77779.94</v>
      </c>
      <c r="I9" s="6">
        <f>'Data Sheet'!I27</f>
        <v>154138.54999999999</v>
      </c>
      <c r="J9" s="6">
        <f>'Data Sheet'!J27</f>
        <v>183894.2</v>
      </c>
      <c r="K9" s="6">
        <f>'Data Sheet'!K27</f>
        <v>185491.23</v>
      </c>
      <c r="L9" s="6">
        <f>SUM(Quarters!H9:K9)</f>
        <v>185491.22999999998</v>
      </c>
      <c r="M9" s="6">
        <f>+$L9</f>
        <v>185491.22999999998</v>
      </c>
      <c r="N9" s="6">
        <f>+$L9</f>
        <v>185491.22999999998</v>
      </c>
    </row>
    <row r="10" spans="1:14" x14ac:dyDescent="0.35">
      <c r="A10" t="s">
        <v>12</v>
      </c>
      <c r="B10" s="6">
        <f>'Data Sheet'!B28</f>
        <v>23392.97</v>
      </c>
      <c r="C10" s="6">
        <f>'Data Sheet'!C28</f>
        <v>28463.919999999998</v>
      </c>
      <c r="D10" s="6">
        <f>'Data Sheet'!D28</f>
        <v>34318.160000000003</v>
      </c>
      <c r="E10" s="6">
        <f>'Data Sheet'!E28</f>
        <v>38194.86</v>
      </c>
      <c r="F10" s="6">
        <f>'Data Sheet'!F28</f>
        <v>42796.15</v>
      </c>
      <c r="G10" s="6">
        <f>'Data Sheet'!G28</f>
        <v>50873.38</v>
      </c>
      <c r="H10" s="6">
        <f>'Data Sheet'!H28</f>
        <v>61498.39</v>
      </c>
      <c r="I10" s="6">
        <f>'Data Sheet'!I28</f>
        <v>76568.600000000006</v>
      </c>
      <c r="J10" s="6">
        <f>'Data Sheet'!J28</f>
        <v>96242.05</v>
      </c>
      <c r="K10" s="6">
        <f>'Data Sheet'!K28</f>
        <v>102141.45</v>
      </c>
      <c r="L10" s="6">
        <f>SUM(Quarters!H10:K10)</f>
        <v>102141.45000000001</v>
      </c>
      <c r="M10" s="6">
        <f>M6+M7-SUM(M8:M9)</f>
        <v>-3029.2446548109874</v>
      </c>
      <c r="N10" s="6">
        <f>N6+N7-SUM(N8:N9)</f>
        <v>-39579.983881274966</v>
      </c>
    </row>
    <row r="11" spans="1:14" x14ac:dyDescent="0.35">
      <c r="A11" t="s">
        <v>13</v>
      </c>
      <c r="B11" s="6">
        <f>'Data Sheet'!B29</f>
        <v>8078.12</v>
      </c>
      <c r="C11" s="6">
        <f>'Data Sheet'!C29</f>
        <v>9903.08</v>
      </c>
      <c r="D11" s="6">
        <f>'Data Sheet'!D29</f>
        <v>11872.55</v>
      </c>
      <c r="E11" s="6">
        <f>'Data Sheet'!E29</f>
        <v>10898.59</v>
      </c>
      <c r="F11" s="6">
        <f>'Data Sheet'!F29</f>
        <v>10939.38</v>
      </c>
      <c r="G11" s="6">
        <f>'Data Sheet'!G29</f>
        <v>12722.48</v>
      </c>
      <c r="H11" s="6">
        <f>'Data Sheet'!H29</f>
        <v>15349.69</v>
      </c>
      <c r="I11" s="6">
        <f>'Data Sheet'!I29</f>
        <v>11122.1</v>
      </c>
      <c r="J11" s="6">
        <f>'Data Sheet'!J29</f>
        <v>22801.88</v>
      </c>
      <c r="K11" s="6">
        <f>'Data Sheet'!K29</f>
        <v>22921.99</v>
      </c>
      <c r="L11" s="6">
        <f>SUM(Quarters!H11:K11)</f>
        <v>22921.99</v>
      </c>
      <c r="M11" s="7">
        <f>IF($L10&gt;0,$L11/$L10,0)</f>
        <v>0.22441418248908743</v>
      </c>
      <c r="N11" s="7">
        <f>IF($L10&gt;0,$L11/$L10,0)</f>
        <v>0.22441418248908743</v>
      </c>
    </row>
    <row r="12" spans="1:14" s="2" customFormat="1" x14ac:dyDescent="0.35">
      <c r="A12" s="2" t="s">
        <v>14</v>
      </c>
      <c r="B12" s="1">
        <f>'Data Sheet'!B30</f>
        <v>15280.48</v>
      </c>
      <c r="C12" s="1">
        <f>'Data Sheet'!C30</f>
        <v>18510.02</v>
      </c>
      <c r="D12" s="1">
        <f>'Data Sheet'!D30</f>
        <v>22332.43</v>
      </c>
      <c r="E12" s="1">
        <f>'Data Sheet'!E30</f>
        <v>27253.95</v>
      </c>
      <c r="F12" s="1">
        <f>'Data Sheet'!F30</f>
        <v>31833.21</v>
      </c>
      <c r="G12" s="1">
        <f>'Data Sheet'!G30</f>
        <v>38052.75</v>
      </c>
      <c r="H12" s="1">
        <f>'Data Sheet'!H30</f>
        <v>45997.11</v>
      </c>
      <c r="I12" s="1">
        <f>'Data Sheet'!I30</f>
        <v>64062.04</v>
      </c>
      <c r="J12" s="1">
        <f>'Data Sheet'!J30</f>
        <v>70792.25</v>
      </c>
      <c r="K12" s="1">
        <f>'Data Sheet'!K30</f>
        <v>76025.97</v>
      </c>
      <c r="L12" s="1">
        <f>SUM(Quarters!H12:K12)</f>
        <v>76025.97</v>
      </c>
      <c r="M12" s="1">
        <f>M10-M11*M10</f>
        <v>-2349.4391920421417</v>
      </c>
      <c r="N12" s="1">
        <f>N10-N11*N10</f>
        <v>-30697.674155627385</v>
      </c>
    </row>
    <row r="13" spans="1:14" x14ac:dyDescent="0.35">
      <c r="A13" t="s">
        <v>57</v>
      </c>
      <c r="B13" s="6">
        <f>IF('Data Sheet'!B93&gt;0,B12/'Data Sheet'!B93,0)</f>
        <v>14.90749448791243</v>
      </c>
      <c r="C13" s="6">
        <f>IF('Data Sheet'!C93&gt;0,C12/'Data Sheet'!C93,0)</f>
        <v>17.831702053870757</v>
      </c>
      <c r="D13" s="6">
        <f>IF('Data Sheet'!D93&gt;0,D12/'Data Sheet'!D93,0)</f>
        <v>20.501257665332503</v>
      </c>
      <c r="E13" s="6">
        <f>IF('Data Sheet'!E93&gt;0,E12/'Data Sheet'!E93,0)</f>
        <v>24.85177721445115</v>
      </c>
      <c r="F13" s="6">
        <f>IF('Data Sheet'!F93&gt;0,F12/'Data Sheet'!F93,0)</f>
        <v>28.872088593818024</v>
      </c>
      <c r="G13" s="6">
        <f>IF('Data Sheet'!G93&gt;0,G12/'Data Sheet'!G93,0)</f>
        <v>34.309265988044473</v>
      </c>
      <c r="H13" s="6">
        <f>IF('Data Sheet'!H93&gt;0,H12/'Data Sheet'!H93,0)</f>
        <v>41.217895066983289</v>
      </c>
      <c r="I13" s="6">
        <f>IF('Data Sheet'!I93&gt;0,I12/'Data Sheet'!I93,0)</f>
        <v>42.163277126196206</v>
      </c>
      <c r="J13" s="6">
        <f>IF('Data Sheet'!J93&gt;0,J12/'Data Sheet'!J93,0)</f>
        <v>46.256142024515825</v>
      </c>
      <c r="K13" s="6">
        <f>IF('Data Sheet'!K93&gt;0,K12/'Data Sheet'!K93,0)</f>
        <v>49.388679563968978</v>
      </c>
      <c r="L13" s="6">
        <f>IF('Data Sheet'!$B6&gt;0,'Profit &amp; Loss'!L12/'Data Sheet'!$B6,0)</f>
        <v>49.375052034865625</v>
      </c>
      <c r="M13" s="6">
        <f>IF('Data Sheet'!$B6&gt;0,'Profit &amp; Loss'!M12/'Data Sheet'!$B6,0)</f>
        <v>-1.52584284501511</v>
      </c>
      <c r="N13" s="6">
        <f>IF('Data Sheet'!$B6&gt;0,'Profit &amp; Loss'!N12/'Data Sheet'!$B6,0)</f>
        <v>-19.93659875412904</v>
      </c>
    </row>
    <row r="14" spans="1:14" x14ac:dyDescent="0.35">
      <c r="A14" t="s">
        <v>16</v>
      </c>
      <c r="B14" s="6">
        <f>IF(B15&gt;0,B15/B13,"")</f>
        <v>24.191858685067483</v>
      </c>
      <c r="C14" s="6">
        <f t="shared" ref="C14:K14" si="2">IF(C15&gt;0,C15/C13,"")</f>
        <v>26.443353448564615</v>
      </c>
      <c r="D14" s="6">
        <f t="shared" si="2"/>
        <v>28.277777366815879</v>
      </c>
      <c r="E14" s="6">
        <f t="shared" si="2"/>
        <v>17.340812139157812</v>
      </c>
      <c r="F14" s="6">
        <f t="shared" si="2"/>
        <v>25.866850524970623</v>
      </c>
      <c r="G14" s="6">
        <f t="shared" si="2"/>
        <v>21.428030557581248</v>
      </c>
      <c r="H14" s="6">
        <f t="shared" si="2"/>
        <v>19.525014528086654</v>
      </c>
      <c r="I14" s="6">
        <f t="shared" si="2"/>
        <v>17.170154915453836</v>
      </c>
      <c r="J14" s="6">
        <f t="shared" si="2"/>
        <v>19.761699960094504</v>
      </c>
      <c r="K14" s="6">
        <f t="shared" si="2"/>
        <v>14.812098773616434</v>
      </c>
      <c r="L14" s="6">
        <f t="shared" ref="L14" si="3">IF(L13&gt;0,L15/L13,0)</f>
        <v>15.007579120661005</v>
      </c>
      <c r="M14" s="6">
        <f>M25</f>
        <v>16.687883192456443</v>
      </c>
      <c r="N14" s="6">
        <f>N25</f>
        <v>15.007579120661005</v>
      </c>
    </row>
    <row r="15" spans="1:14" s="2" customFormat="1" x14ac:dyDescent="0.35">
      <c r="A15" s="2" t="s">
        <v>58</v>
      </c>
      <c r="B15" s="1">
        <f>'Data Sheet'!B90</f>
        <v>360.64</v>
      </c>
      <c r="C15" s="1">
        <f>'Data Sheet'!C90</f>
        <v>471.53</v>
      </c>
      <c r="D15" s="1">
        <f>'Data Sheet'!D90</f>
        <v>579.73</v>
      </c>
      <c r="E15" s="1">
        <f>'Data Sheet'!E90</f>
        <v>430.95</v>
      </c>
      <c r="F15" s="1">
        <f>'Data Sheet'!F90</f>
        <v>746.83</v>
      </c>
      <c r="G15" s="1">
        <f>'Data Sheet'!G90</f>
        <v>735.18</v>
      </c>
      <c r="H15" s="1">
        <f>'Data Sheet'!H90</f>
        <v>804.78</v>
      </c>
      <c r="I15" s="1">
        <f>'Data Sheet'!I90</f>
        <v>723.95</v>
      </c>
      <c r="J15" s="1">
        <f>'Data Sheet'!J90</f>
        <v>914.1</v>
      </c>
      <c r="K15" s="1">
        <f>'Data Sheet'!K90</f>
        <v>731.55</v>
      </c>
      <c r="L15" s="1">
        <f>'Data Sheet'!B8</f>
        <v>741</v>
      </c>
      <c r="M15" s="8">
        <f>M13*M14</f>
        <v>-25.463087167657577</v>
      </c>
      <c r="N15" s="9">
        <f>N13*N14</f>
        <v>-299.20008319946317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0.18447064490120732</v>
      </c>
      <c r="C18" s="5">
        <f>IF('Data Sheet'!C30&gt;0, 'Data Sheet'!C31/'Data Sheet'!C30, 0)</f>
        <v>0.18225966260436238</v>
      </c>
      <c r="D18" s="5">
        <f>IF('Data Sheet'!D30&gt;0, 'Data Sheet'!D31/'Data Sheet'!D30, 0)</f>
        <v>0.18291560748203398</v>
      </c>
      <c r="E18" s="5">
        <f>IF('Data Sheet'!E30&gt;0, 'Data Sheet'!E31/'Data Sheet'!E30, 0)</f>
        <v>5.0298030193788416E-2</v>
      </c>
      <c r="F18" s="5">
        <f>IF('Data Sheet'!F30&gt;0, 'Data Sheet'!F31/'Data Sheet'!F30, 0)</f>
        <v>0.11256546229550837</v>
      </c>
      <c r="G18" s="5">
        <f>IF('Data Sheet'!G30&gt;0, 'Data Sheet'!G31/'Data Sheet'!G30, 0)</f>
        <v>0.22588433161860838</v>
      </c>
      <c r="H18" s="5">
        <f>IF('Data Sheet'!H30&gt;0, 'Data Sheet'!H31/'Data Sheet'!H30, 0)</f>
        <v>0.23048034974371218</v>
      </c>
      <c r="I18" s="5">
        <f>IF('Data Sheet'!I30&gt;0, 'Data Sheet'!I31/'Data Sheet'!I30, 0)</f>
        <v>0.23124396288347981</v>
      </c>
      <c r="J18" s="5">
        <f>IF('Data Sheet'!J30&gt;0, 'Data Sheet'!J31/'Data Sheet'!J30, 0)</f>
        <v>0.2378062570408484</v>
      </c>
      <c r="K18" s="5">
        <f>IF('Data Sheet'!K30&gt;0, 'Data Sheet'!K31/'Data Sheet'!K30, 0)</f>
        <v>0.31383710066441772</v>
      </c>
    </row>
    <row r="19" spans="1:14" x14ac:dyDescent="0.35">
      <c r="A19" t="s">
        <v>18</v>
      </c>
      <c r="B19" s="5">
        <f t="shared" ref="B19:L19" si="4">IF(B6&gt;0,B6/B4,0)</f>
        <v>0.67441994722357379</v>
      </c>
      <c r="C19" s="5">
        <f t="shared" ref="C19:K19" si="5">IF(C6&gt;0,C6/C4,0)</f>
        <v>0.6537342251838012</v>
      </c>
      <c r="D19" s="5">
        <f t="shared" si="5"/>
        <v>0.6685429372216285</v>
      </c>
      <c r="E19" s="5">
        <f t="shared" si="5"/>
        <v>0.62796076481007457</v>
      </c>
      <c r="F19" s="5">
        <f t="shared" si="5"/>
        <v>0.59194437443408288</v>
      </c>
      <c r="G19" s="5">
        <f t="shared" si="5"/>
        <v>0.58394546391213364</v>
      </c>
      <c r="H19" s="5">
        <f t="shared" si="5"/>
        <v>0.63080055787842215</v>
      </c>
      <c r="I19" s="5">
        <f t="shared" si="5"/>
        <v>0.3858764609868916</v>
      </c>
      <c r="J19" s="5">
        <f t="shared" si="5"/>
        <v>0.44413628275484335</v>
      </c>
      <c r="K19" s="5">
        <f t="shared" si="5"/>
        <v>0.40384079693610564</v>
      </c>
      <c r="L19" s="5">
        <f t="shared" si="4"/>
        <v>0.40384079693610558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0.1892358891985535</v>
      </c>
      <c r="I23" s="5">
        <f>IF(D4=0,"",POWER($K4/D4,1/7)-1)</f>
        <v>0.18674138860297163</v>
      </c>
      <c r="J23" s="5">
        <f>IF(F4=0,"",POWER($K4/F4,1/5)-1)</f>
        <v>0.22082443593310108</v>
      </c>
      <c r="K23" s="5">
        <f>IF(H4=0,"",POWER($K4/H4, 1/3)-1)</f>
        <v>0.26860109268126653</v>
      </c>
      <c r="L23" s="5">
        <f>IF(ISERROR(MAX(IF(J4=0,"",(K4-J4)/J4),IF(K4=0,"",(L4-K4)/K4))),"",MAX(IF(J4=0,"",(K4-J4)/J4),IF(K4=0,"",(L4-K4)/K4)))</f>
        <v>3.6411729875273684E-2</v>
      </c>
      <c r="M23" s="16">
        <f>MAX(K23:L23)</f>
        <v>0.26860109268126653</v>
      </c>
      <c r="N23" s="16">
        <f>MIN(H23:L23)</f>
        <v>3.6411729875273684E-2</v>
      </c>
    </row>
    <row r="24" spans="1:14" x14ac:dyDescent="0.35">
      <c r="G24" t="s">
        <v>18</v>
      </c>
      <c r="H24" s="5">
        <f>IF(SUM(B4:$K$4)=0,"",SUMPRODUCT(B19:$K$19,B4:$K$4)/SUM(B4:$K$4))</f>
        <v>0.51124856608369562</v>
      </c>
      <c r="I24" s="5">
        <f>IF(SUM(E4:$K$4)=0,"",SUMPRODUCT(E19:$K$19,E4:$K$4)/SUM(E4:$K$4))</f>
        <v>0.4846118846607817</v>
      </c>
      <c r="J24" s="5">
        <f>IF(SUM(G4:$K$4)=0,"",SUMPRODUCT(G19:$K$19,G4:$K$4)/SUM(G4:$K$4))</f>
        <v>0.46005844202208818</v>
      </c>
      <c r="K24" s="5">
        <f>IF(SUM(I4:$K$4)=0, "", SUMPRODUCT(I19:$K$19,I4:$K$4)/SUM(I4:$K$4))</f>
        <v>0.41257324250003824</v>
      </c>
      <c r="L24" s="5">
        <f>L19</f>
        <v>0.40384079693610558</v>
      </c>
      <c r="M24" s="16">
        <f>MAX(K24:L24)</f>
        <v>0.41257324250003824</v>
      </c>
      <c r="N24" s="16">
        <f>MIN(H24:L24)</f>
        <v>0.40384079693610558</v>
      </c>
    </row>
    <row r="25" spans="1:14" x14ac:dyDescent="0.35">
      <c r="G25" t="s">
        <v>23</v>
      </c>
      <c r="H25" s="6">
        <f>IF(ISERROR(AVERAGEIF(B14:$L14,"&gt;0")),"",AVERAGEIF(B14:$L14,"&gt;0"))</f>
        <v>20.893202729097286</v>
      </c>
      <c r="I25" s="6">
        <f>IF(ISERROR(AVERAGEIF(E14:$L14,"&gt;0")),"",AVERAGEIF(E14:$L14,"&gt;0"))</f>
        <v>18.864030064952765</v>
      </c>
      <c r="J25" s="6">
        <f>IF(ISERROR(AVERAGEIF(G14:$L14,"&gt;0")),"",AVERAGEIF(G14:$L14,"&gt;0"))</f>
        <v>17.950762975915612</v>
      </c>
      <c r="K25" s="6">
        <f>IF(ISERROR(AVERAGEIF(I14:$L14,"&gt;0")),"",AVERAGEIF(I14:$L14,"&gt;0"))</f>
        <v>16.687883192456443</v>
      </c>
      <c r="L25" s="6">
        <f>L14</f>
        <v>15.007579120661005</v>
      </c>
      <c r="M25" s="1">
        <f>MAX(K25:L25)</f>
        <v>16.687883192456443</v>
      </c>
      <c r="N25" s="1">
        <f>MIN(H25:L25)</f>
        <v>15.007579120661005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HDFC BANK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x14ac:dyDescent="0.35">
      <c r="A4" s="2" t="s">
        <v>6</v>
      </c>
      <c r="B4" s="1">
        <f>'Data Sheet'!B42</f>
        <v>78008.17</v>
      </c>
      <c r="C4" s="1">
        <f>'Data Sheet'!C42</f>
        <v>79433.61</v>
      </c>
      <c r="D4" s="1">
        <f>'Data Sheet'!D42</f>
        <v>81546.2</v>
      </c>
      <c r="E4" s="1">
        <f>'Data Sheet'!E42</f>
        <v>83001.72</v>
      </c>
      <c r="F4" s="1">
        <f>'Data Sheet'!F42</f>
        <v>85040.17</v>
      </c>
      <c r="G4" s="1">
        <f>'Data Sheet'!G42</f>
        <v>86779.34</v>
      </c>
      <c r="H4" s="1">
        <f>'Data Sheet'!H42</f>
        <v>87371.87</v>
      </c>
      <c r="I4" s="1">
        <f>'Data Sheet'!I42</f>
        <v>86993.84</v>
      </c>
      <c r="J4" s="1">
        <f>'Data Sheet'!J42</f>
        <v>87066.94</v>
      </c>
      <c r="K4" s="1">
        <f>'Data Sheet'!K42</f>
        <v>87182.5</v>
      </c>
    </row>
    <row r="5" spans="1:11" x14ac:dyDescent="0.35">
      <c r="A5" t="s">
        <v>7</v>
      </c>
      <c r="B5" s="6">
        <f>'Data Sheet'!B43</f>
        <v>50530.03</v>
      </c>
      <c r="C5" s="6">
        <f>'Data Sheet'!C43</f>
        <v>62938.45</v>
      </c>
      <c r="D5" s="6">
        <f>'Data Sheet'!D43</f>
        <v>49689.62</v>
      </c>
      <c r="E5" s="6">
        <f>'Data Sheet'!E43</f>
        <v>52074.11</v>
      </c>
      <c r="F5" s="6">
        <f>'Data Sheet'!F43</f>
        <v>41306.79</v>
      </c>
      <c r="G5" s="6">
        <f>'Data Sheet'!G43</f>
        <v>47709.16</v>
      </c>
      <c r="H5" s="6">
        <f>'Data Sheet'!H43</f>
        <v>64496.63</v>
      </c>
      <c r="I5" s="6">
        <f>'Data Sheet'!I43</f>
        <v>45160.88</v>
      </c>
      <c r="J5" s="6">
        <f>'Data Sheet'!J43</f>
        <v>54144.75</v>
      </c>
      <c r="K5" s="6">
        <f>'Data Sheet'!K43</f>
        <v>44027.87</v>
      </c>
    </row>
    <row r="6" spans="1:11" s="2" customFormat="1" x14ac:dyDescent="0.35">
      <c r="A6" s="2" t="s">
        <v>8</v>
      </c>
      <c r="B6" s="1">
        <f>'Data Sheet'!B50</f>
        <v>27478.14</v>
      </c>
      <c r="C6" s="1">
        <f>'Data Sheet'!C50</f>
        <v>16495.16</v>
      </c>
      <c r="D6" s="1">
        <f>'Data Sheet'!D50</f>
        <v>31856.58</v>
      </c>
      <c r="E6" s="1">
        <f>'Data Sheet'!E50</f>
        <v>30927.61</v>
      </c>
      <c r="F6" s="1">
        <f>'Data Sheet'!F50</f>
        <v>43733.38</v>
      </c>
      <c r="G6" s="1">
        <f>'Data Sheet'!G50</f>
        <v>39070.18</v>
      </c>
      <c r="H6" s="1">
        <f>'Data Sheet'!H50</f>
        <v>22875.24</v>
      </c>
      <c r="I6" s="1">
        <f>'Data Sheet'!I50</f>
        <v>41832.959999999999</v>
      </c>
      <c r="J6" s="1">
        <f>'Data Sheet'!J50</f>
        <v>32922.19</v>
      </c>
      <c r="K6" s="1">
        <f>'Data Sheet'!K50</f>
        <v>43154.63</v>
      </c>
    </row>
    <row r="7" spans="1:11" x14ac:dyDescent="0.35">
      <c r="A7" t="s">
        <v>9</v>
      </c>
      <c r="B7" s="6">
        <f>'Data Sheet'!B44</f>
        <v>37007.339999999997</v>
      </c>
      <c r="C7" s="6">
        <f>'Data Sheet'!C44</f>
        <v>44957.74</v>
      </c>
      <c r="D7" s="6">
        <f>'Data Sheet'!D44</f>
        <v>35450.29</v>
      </c>
      <c r="E7" s="6">
        <f>'Data Sheet'!E44</f>
        <v>38455.019999999997</v>
      </c>
      <c r="F7" s="6">
        <f>'Data Sheet'!F44</f>
        <v>27153.77</v>
      </c>
      <c r="G7" s="6">
        <f>'Data Sheet'!G44</f>
        <v>33489.42</v>
      </c>
      <c r="H7" s="6">
        <f>'Data Sheet'!H44</f>
        <v>45683.1</v>
      </c>
      <c r="I7" s="6">
        <f>'Data Sheet'!I44</f>
        <v>31566.79</v>
      </c>
      <c r="J7" s="6">
        <f>'Data Sheet'!J44</f>
        <v>39860.33</v>
      </c>
      <c r="K7" s="6">
        <f>'Data Sheet'!K44</f>
        <v>29737.439999999999</v>
      </c>
    </row>
    <row r="8" spans="1:11" x14ac:dyDescent="0.35">
      <c r="A8" t="s">
        <v>10</v>
      </c>
      <c r="B8" s="6">
        <f>'Data Sheet'!B45</f>
        <v>0</v>
      </c>
      <c r="C8" s="6">
        <f>'Data Sheet'!C45</f>
        <v>0</v>
      </c>
      <c r="D8" s="6">
        <f>'Data Sheet'!D45</f>
        <v>0</v>
      </c>
      <c r="E8" s="6">
        <f>'Data Sheet'!E45</f>
        <v>0</v>
      </c>
      <c r="F8" s="6">
        <f>'Data Sheet'!F45</f>
        <v>0</v>
      </c>
      <c r="G8" s="6">
        <f>'Data Sheet'!G45</f>
        <v>0</v>
      </c>
      <c r="H8" s="6">
        <f>'Data Sheet'!H45</f>
        <v>0</v>
      </c>
      <c r="I8" s="6">
        <f>'Data Sheet'!I45</f>
        <v>0</v>
      </c>
      <c r="J8" s="6">
        <f>'Data Sheet'!J45</f>
        <v>0</v>
      </c>
      <c r="K8" s="6">
        <f>'Data Sheet'!K45</f>
        <v>0</v>
      </c>
    </row>
    <row r="9" spans="1:11" x14ac:dyDescent="0.35">
      <c r="A9" t="s">
        <v>11</v>
      </c>
      <c r="B9" s="6">
        <f>'Data Sheet'!B46</f>
        <v>43242.37</v>
      </c>
      <c r="C9" s="6">
        <f>'Data Sheet'!C46</f>
        <v>43691.51</v>
      </c>
      <c r="D9" s="6">
        <f>'Data Sheet'!D46</f>
        <v>44579.5</v>
      </c>
      <c r="E9" s="6">
        <f>'Data Sheet'!E46</f>
        <v>45414.21</v>
      </c>
      <c r="F9" s="6">
        <f>'Data Sheet'!F46</f>
        <v>46914.28</v>
      </c>
      <c r="G9" s="6">
        <f>'Data Sheet'!G46</f>
        <v>46986.21</v>
      </c>
      <c r="H9" s="6">
        <f>'Data Sheet'!H46</f>
        <v>47708.51</v>
      </c>
      <c r="I9" s="6">
        <f>'Data Sheet'!I46</f>
        <v>46740.86</v>
      </c>
      <c r="J9" s="6">
        <f>'Data Sheet'!J46</f>
        <v>45821.42</v>
      </c>
      <c r="K9" s="6">
        <f>'Data Sheet'!K46</f>
        <v>45220.44</v>
      </c>
    </row>
    <row r="10" spans="1:11" x14ac:dyDescent="0.35">
      <c r="A10" t="s">
        <v>12</v>
      </c>
      <c r="B10" s="6">
        <f>'Data Sheet'!B47</f>
        <v>21243.11</v>
      </c>
      <c r="C10" s="6">
        <f>'Data Sheet'!C47</f>
        <v>17761.39</v>
      </c>
      <c r="D10" s="6">
        <f>'Data Sheet'!D47</f>
        <v>22727.37</v>
      </c>
      <c r="E10" s="6">
        <f>'Data Sheet'!E47</f>
        <v>23968.42</v>
      </c>
      <c r="F10" s="6">
        <f>'Data Sheet'!F47</f>
        <v>23972.87</v>
      </c>
      <c r="G10" s="6">
        <f>'Data Sheet'!G47</f>
        <v>25573.39</v>
      </c>
      <c r="H10" s="6">
        <f>'Data Sheet'!H47</f>
        <v>20849.830000000002</v>
      </c>
      <c r="I10" s="6">
        <f>'Data Sheet'!I47</f>
        <v>26658.89</v>
      </c>
      <c r="J10" s="6">
        <f>'Data Sheet'!J47</f>
        <v>26961.1</v>
      </c>
      <c r="K10" s="6">
        <f>'Data Sheet'!K47</f>
        <v>27671.63</v>
      </c>
    </row>
    <row r="11" spans="1:11" x14ac:dyDescent="0.35">
      <c r="A11" t="s">
        <v>13</v>
      </c>
      <c r="B11" s="6">
        <f>'Data Sheet'!B48</f>
        <v>3525.11</v>
      </c>
      <c r="C11" s="6">
        <f>'Data Sheet'!C48</f>
        <v>-251.48</v>
      </c>
      <c r="D11" s="6">
        <f>'Data Sheet'!D48</f>
        <v>5539.32</v>
      </c>
      <c r="E11" s="6">
        <f>'Data Sheet'!E48</f>
        <v>5340.98</v>
      </c>
      <c r="F11" s="6">
        <f>'Data Sheet'!F48</f>
        <v>5632.76</v>
      </c>
      <c r="G11" s="6">
        <f>'Data Sheet'!G48</f>
        <v>6288.82</v>
      </c>
      <c r="H11" s="6">
        <f>'Data Sheet'!H48</f>
        <v>3759.4</v>
      </c>
      <c r="I11" s="6">
        <f>'Data Sheet'!I48</f>
        <v>6295.12</v>
      </c>
      <c r="J11" s="6">
        <f>'Data Sheet'!J48</f>
        <v>6270.06</v>
      </c>
      <c r="K11" s="6">
        <f>'Data Sheet'!K48</f>
        <v>6597.41</v>
      </c>
    </row>
    <row r="12" spans="1:11" s="2" customFormat="1" x14ac:dyDescent="0.35">
      <c r="A12" s="2" t="s">
        <v>14</v>
      </c>
      <c r="B12" s="1">
        <f>'Data Sheet'!B49</f>
        <v>17257.87</v>
      </c>
      <c r="C12" s="1">
        <f>'Data Sheet'!C49</f>
        <v>17622.38</v>
      </c>
      <c r="D12" s="1">
        <f>'Data Sheet'!D49</f>
        <v>16474.849999999999</v>
      </c>
      <c r="E12" s="1">
        <f>'Data Sheet'!E49</f>
        <v>17825.91</v>
      </c>
      <c r="F12" s="1">
        <f>'Data Sheet'!F49</f>
        <v>17656.61</v>
      </c>
      <c r="G12" s="1">
        <f>'Data Sheet'!G49</f>
        <v>18834.88</v>
      </c>
      <c r="H12" s="1">
        <f>'Data Sheet'!H49</f>
        <v>16257.91</v>
      </c>
      <c r="I12" s="1">
        <f>'Data Sheet'!I49</f>
        <v>19610.669999999998</v>
      </c>
      <c r="J12" s="1">
        <f>'Data Sheet'!J49</f>
        <v>19806.63</v>
      </c>
      <c r="K12" s="1">
        <f>'Data Sheet'!K49</f>
        <v>20350.759999999998</v>
      </c>
    </row>
    <row r="14" spans="1:11" s="2" customFormat="1" x14ac:dyDescent="0.35">
      <c r="A14" s="2" t="s">
        <v>18</v>
      </c>
      <c r="B14" s="10">
        <f>IF(B4&gt;0,B6/B4,"")</f>
        <v>0.35224695054376998</v>
      </c>
      <c r="C14" s="10">
        <f t="shared" ref="C14:K14" si="0">IF(C4&gt;0,C6/C4,"")</f>
        <v>0.20765970475218234</v>
      </c>
      <c r="D14" s="10">
        <f t="shared" si="0"/>
        <v>0.39065683011593433</v>
      </c>
      <c r="E14" s="10">
        <f t="shared" si="0"/>
        <v>0.37261408558762399</v>
      </c>
      <c r="F14" s="10">
        <f t="shared" si="0"/>
        <v>0.51426731625771682</v>
      </c>
      <c r="G14" s="10">
        <f t="shared" si="0"/>
        <v>0.45022444282245061</v>
      </c>
      <c r="H14" s="10">
        <f t="shared" si="0"/>
        <v>0.26181470077268582</v>
      </c>
      <c r="I14" s="10">
        <f t="shared" si="0"/>
        <v>0.48087266868550693</v>
      </c>
      <c r="J14" s="10">
        <f t="shared" si="0"/>
        <v>0.37812503804543951</v>
      </c>
      <c r="K14" s="10">
        <f t="shared" si="0"/>
        <v>0.49499188483927392</v>
      </c>
    </row>
    <row r="22" s="23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10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HDFC BANK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35">
      <c r="A4" t="s">
        <v>24</v>
      </c>
      <c r="B4" s="14">
        <f>'Data Sheet'!B57</f>
        <v>512.51</v>
      </c>
      <c r="C4" s="14">
        <f>'Data Sheet'!C57</f>
        <v>519.02</v>
      </c>
      <c r="D4" s="14">
        <f>'Data Sheet'!D57</f>
        <v>544.66</v>
      </c>
      <c r="E4" s="14">
        <f>'Data Sheet'!E57</f>
        <v>548.33000000000004</v>
      </c>
      <c r="F4" s="14">
        <f>'Data Sheet'!F57</f>
        <v>551.28</v>
      </c>
      <c r="G4" s="14">
        <f>'Data Sheet'!G57</f>
        <v>554.54999999999995</v>
      </c>
      <c r="H4" s="14">
        <f>'Data Sheet'!H57</f>
        <v>557.97</v>
      </c>
      <c r="I4" s="14">
        <f>'Data Sheet'!I57</f>
        <v>759.69</v>
      </c>
      <c r="J4" s="14">
        <f>'Data Sheet'!J57</f>
        <v>765.22</v>
      </c>
      <c r="K4" s="14">
        <f>'Data Sheet'!K57</f>
        <v>1539.34</v>
      </c>
    </row>
    <row r="5" spans="1:11" x14ac:dyDescent="0.35">
      <c r="A5" t="s">
        <v>25</v>
      </c>
      <c r="B5" s="14">
        <f>'Data Sheet'!B58</f>
        <v>91281.44</v>
      </c>
      <c r="C5" s="14">
        <f>'Data Sheet'!C58</f>
        <v>109080.11</v>
      </c>
      <c r="D5" s="14">
        <f>'Data Sheet'!D58</f>
        <v>153128</v>
      </c>
      <c r="E5" s="14">
        <f>'Data Sheet'!E58</f>
        <v>175810.38</v>
      </c>
      <c r="F5" s="14">
        <f>'Data Sheet'!F58</f>
        <v>209258.9</v>
      </c>
      <c r="G5" s="14">
        <f>'Data Sheet'!G58</f>
        <v>246771.62</v>
      </c>
      <c r="H5" s="14">
        <f>'Data Sheet'!H58</f>
        <v>288879.53000000003</v>
      </c>
      <c r="I5" s="14">
        <f>'Data Sheet'!I58</f>
        <v>455635.56</v>
      </c>
      <c r="J5" s="14">
        <f>'Data Sheet'!J58</f>
        <v>521024.17</v>
      </c>
      <c r="K5" s="14">
        <f>'Data Sheet'!K58</f>
        <v>579975.02</v>
      </c>
    </row>
    <row r="6" spans="1:11" x14ac:dyDescent="0.35">
      <c r="A6" t="s">
        <v>71</v>
      </c>
      <c r="B6" s="14">
        <f>'Data Sheet'!B59</f>
        <v>741549.89</v>
      </c>
      <c r="C6" s="14">
        <f>'Data Sheet'!C59</f>
        <v>944817.22</v>
      </c>
      <c r="D6" s="14">
        <f>'Data Sheet'!D59</f>
        <v>1080235.46</v>
      </c>
      <c r="E6" s="14">
        <f>'Data Sheet'!E59</f>
        <v>1333041.45</v>
      </c>
      <c r="F6" s="14">
        <f>'Data Sheet'!F59</f>
        <v>1511417.62</v>
      </c>
      <c r="G6" s="14">
        <f>'Data Sheet'!G59</f>
        <v>1784969.53</v>
      </c>
      <c r="H6" s="14">
        <f>'Data Sheet'!H59</f>
        <v>2139211.91</v>
      </c>
      <c r="I6" s="14">
        <f>'Data Sheet'!I59</f>
        <v>3107502.74</v>
      </c>
      <c r="J6" s="14">
        <f>'Data Sheet'!J59</f>
        <v>3345503.8</v>
      </c>
      <c r="K6" s="14">
        <f>'Data Sheet'!K59</f>
        <v>3688122.84</v>
      </c>
    </row>
    <row r="7" spans="1:11" x14ac:dyDescent="0.35">
      <c r="A7" t="s">
        <v>72</v>
      </c>
      <c r="B7" s="14">
        <f>'Data Sheet'!B60</f>
        <v>59000.32</v>
      </c>
      <c r="C7" s="14">
        <f>'Data Sheet'!C60</f>
        <v>48769.82</v>
      </c>
      <c r="D7" s="14">
        <f>'Data Sheet'!D60</f>
        <v>58897.59</v>
      </c>
      <c r="E7" s="14">
        <f>'Data Sheet'!E60</f>
        <v>71430.27</v>
      </c>
      <c r="F7" s="14">
        <f>'Data Sheet'!F60</f>
        <v>78278.83</v>
      </c>
      <c r="G7" s="14">
        <f>'Data Sheet'!G60</f>
        <v>90638.6</v>
      </c>
      <c r="H7" s="14">
        <f>'Data Sheet'!H60</f>
        <v>101783.03</v>
      </c>
      <c r="I7" s="14">
        <f>'Data Sheet'!I60</f>
        <v>466296.27</v>
      </c>
      <c r="J7" s="14">
        <f>'Data Sheet'!J60</f>
        <v>524816.64000000001</v>
      </c>
      <c r="K7" s="14">
        <f>'Data Sheet'!K60</f>
        <v>638403.64</v>
      </c>
    </row>
    <row r="8" spans="1:11" s="2" customFormat="1" x14ac:dyDescent="0.35">
      <c r="A8" s="2" t="s">
        <v>26</v>
      </c>
      <c r="B8" s="15">
        <f>'Data Sheet'!B61</f>
        <v>892344.16</v>
      </c>
      <c r="C8" s="15">
        <f>'Data Sheet'!C61</f>
        <v>1103186.17</v>
      </c>
      <c r="D8" s="15">
        <f>'Data Sheet'!D61</f>
        <v>1292805.71</v>
      </c>
      <c r="E8" s="15">
        <f>'Data Sheet'!E61</f>
        <v>1580830.43</v>
      </c>
      <c r="F8" s="15">
        <f>'Data Sheet'!F61</f>
        <v>1799506.63</v>
      </c>
      <c r="G8" s="15">
        <f>'Data Sheet'!G61</f>
        <v>2122934.2999999998</v>
      </c>
      <c r="H8" s="15">
        <f>'Data Sheet'!H61</f>
        <v>2530432.44</v>
      </c>
      <c r="I8" s="15">
        <f>'Data Sheet'!I61</f>
        <v>4030194.26</v>
      </c>
      <c r="J8" s="15">
        <f>'Data Sheet'!J61</f>
        <v>4392109.83</v>
      </c>
      <c r="K8" s="15">
        <f>'Data Sheet'!K61</f>
        <v>4908040.84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3999.7</v>
      </c>
      <c r="C10" s="14">
        <f>'Data Sheet'!C62</f>
        <v>4008.13</v>
      </c>
      <c r="D10" s="14">
        <f>'Data Sheet'!D62</f>
        <v>4368.63</v>
      </c>
      <c r="E10" s="14">
        <f>'Data Sheet'!E62</f>
        <v>4775.6499999999996</v>
      </c>
      <c r="F10" s="14">
        <f>'Data Sheet'!F62</f>
        <v>5248.35</v>
      </c>
      <c r="G10" s="14">
        <f>'Data Sheet'!G62</f>
        <v>6432.07</v>
      </c>
      <c r="H10" s="14">
        <f>'Data Sheet'!H62</f>
        <v>8431.35</v>
      </c>
      <c r="I10" s="14">
        <f>'Data Sheet'!I62</f>
        <v>12603.76</v>
      </c>
      <c r="J10" s="14">
        <f>'Data Sheet'!J62</f>
        <v>15257.94</v>
      </c>
      <c r="K10" s="14">
        <f>'Data Sheet'!K62</f>
        <v>16491.59</v>
      </c>
    </row>
    <row r="11" spans="1:11" x14ac:dyDescent="0.35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0</v>
      </c>
      <c r="F11" s="14">
        <f>'Data Sheet'!F63</f>
        <v>0</v>
      </c>
      <c r="G11" s="14">
        <f>'Data Sheet'!G63</f>
        <v>0</v>
      </c>
      <c r="H11" s="14">
        <f>'Data Sheet'!H63</f>
        <v>0</v>
      </c>
      <c r="I11" s="14">
        <f>'Data Sheet'!I63</f>
        <v>0</v>
      </c>
      <c r="J11" s="14">
        <f>'Data Sheet'!J63</f>
        <v>0</v>
      </c>
      <c r="K11" s="14">
        <f>'Data Sheet'!K63</f>
        <v>0</v>
      </c>
    </row>
    <row r="12" spans="1:11" x14ac:dyDescent="0.35">
      <c r="A12" t="s">
        <v>29</v>
      </c>
      <c r="B12" s="14">
        <f>'Data Sheet'!B64</f>
        <v>210777.11</v>
      </c>
      <c r="C12" s="14">
        <f>'Data Sheet'!C64</f>
        <v>238460.92</v>
      </c>
      <c r="D12" s="14">
        <f>'Data Sheet'!D64</f>
        <v>289445.87</v>
      </c>
      <c r="E12" s="14">
        <f>'Data Sheet'!E64</f>
        <v>389304.95</v>
      </c>
      <c r="F12" s="14">
        <f>'Data Sheet'!F64</f>
        <v>438823.11</v>
      </c>
      <c r="G12" s="14">
        <f>'Data Sheet'!G64</f>
        <v>449263.86</v>
      </c>
      <c r="H12" s="14">
        <f>'Data Sheet'!H64</f>
        <v>511581.71</v>
      </c>
      <c r="I12" s="14">
        <f>'Data Sheet'!I64</f>
        <v>1005681.63</v>
      </c>
      <c r="J12" s="14">
        <f>'Data Sheet'!J64</f>
        <v>1186472.8899999999</v>
      </c>
      <c r="K12" s="14">
        <f>'Data Sheet'!K64</f>
        <v>1280216.29</v>
      </c>
    </row>
    <row r="13" spans="1:11" x14ac:dyDescent="0.35">
      <c r="A13" t="s">
        <v>73</v>
      </c>
      <c r="B13" s="14">
        <f>'Data Sheet'!B65</f>
        <v>677567.35</v>
      </c>
      <c r="C13" s="14">
        <f>'Data Sheet'!C65</f>
        <v>860717.12</v>
      </c>
      <c r="D13" s="14">
        <f>'Data Sheet'!D65</f>
        <v>998991.21</v>
      </c>
      <c r="E13" s="14">
        <f>'Data Sheet'!E65</f>
        <v>1186749.83</v>
      </c>
      <c r="F13" s="14">
        <f>'Data Sheet'!F65</f>
        <v>1355435.17</v>
      </c>
      <c r="G13" s="14">
        <f>'Data Sheet'!G65</f>
        <v>1667238.37</v>
      </c>
      <c r="H13" s="14">
        <f>'Data Sheet'!H65</f>
        <v>2010419.38</v>
      </c>
      <c r="I13" s="14">
        <f>'Data Sheet'!I65</f>
        <v>3011908.87</v>
      </c>
      <c r="J13" s="14">
        <f>'Data Sheet'!J65</f>
        <v>3190379</v>
      </c>
      <c r="K13" s="14">
        <f>'Data Sheet'!K65</f>
        <v>3611332.96</v>
      </c>
    </row>
    <row r="14" spans="1:11" s="2" customFormat="1" x14ac:dyDescent="0.35">
      <c r="A14" s="2" t="s">
        <v>26</v>
      </c>
      <c r="B14" s="14">
        <f>'Data Sheet'!B66</f>
        <v>892344.16</v>
      </c>
      <c r="C14" s="14">
        <f>'Data Sheet'!C66</f>
        <v>1103186.17</v>
      </c>
      <c r="D14" s="14">
        <f>'Data Sheet'!D66</f>
        <v>1292805.71</v>
      </c>
      <c r="E14" s="14">
        <f>'Data Sheet'!E66</f>
        <v>1580830.43</v>
      </c>
      <c r="F14" s="14">
        <f>'Data Sheet'!F66</f>
        <v>1799506.63</v>
      </c>
      <c r="G14" s="14">
        <f>'Data Sheet'!G66</f>
        <v>2122934.2999999998</v>
      </c>
      <c r="H14" s="14">
        <f>'Data Sheet'!H66</f>
        <v>2530432.44</v>
      </c>
      <c r="I14" s="14">
        <f>'Data Sheet'!I66</f>
        <v>4030194.26</v>
      </c>
      <c r="J14" s="14">
        <f>'Data Sheet'!J66</f>
        <v>4392109.83</v>
      </c>
      <c r="K14" s="14">
        <f>'Data Sheet'!K66</f>
        <v>4908040.84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618567.03</v>
      </c>
      <c r="C16" s="4">
        <f t="shared" ref="C16:K16" si="0">C13-C7</f>
        <v>811947.3</v>
      </c>
      <c r="D16" s="4">
        <f t="shared" si="0"/>
        <v>940093.62</v>
      </c>
      <c r="E16" s="4">
        <f t="shared" si="0"/>
        <v>1115319.56</v>
      </c>
      <c r="F16" s="4">
        <f t="shared" si="0"/>
        <v>1277156.3399999999</v>
      </c>
      <c r="G16" s="4">
        <f t="shared" si="0"/>
        <v>1576599.77</v>
      </c>
      <c r="H16" s="4">
        <f t="shared" si="0"/>
        <v>1908636.3499999999</v>
      </c>
      <c r="I16" s="4">
        <f t="shared" si="0"/>
        <v>2545612.6</v>
      </c>
      <c r="J16" s="4">
        <f t="shared" si="0"/>
        <v>2665562.36</v>
      </c>
      <c r="K16" s="4">
        <f t="shared" si="0"/>
        <v>2972929.32</v>
      </c>
    </row>
    <row r="17" spans="1:11" x14ac:dyDescent="0.35">
      <c r="A17" t="s">
        <v>44</v>
      </c>
      <c r="B17" s="4">
        <f>'Data Sheet'!B67</f>
        <v>0</v>
      </c>
      <c r="C17" s="4">
        <f>'Data Sheet'!C67</f>
        <v>0</v>
      </c>
      <c r="D17" s="4">
        <f>'Data Sheet'!D67</f>
        <v>0</v>
      </c>
      <c r="E17" s="4">
        <f>'Data Sheet'!E67</f>
        <v>0</v>
      </c>
      <c r="F17" s="4">
        <f>'Data Sheet'!F67</f>
        <v>0</v>
      </c>
      <c r="G17" s="4">
        <f>'Data Sheet'!G67</f>
        <v>0</v>
      </c>
      <c r="H17" s="4">
        <f>'Data Sheet'!H67</f>
        <v>0</v>
      </c>
      <c r="I17" s="4">
        <f>'Data Sheet'!I67</f>
        <v>0</v>
      </c>
      <c r="J17" s="4">
        <f>'Data Sheet'!J67</f>
        <v>0</v>
      </c>
      <c r="K17" s="4">
        <f>'Data Sheet'!K67</f>
        <v>0</v>
      </c>
    </row>
    <row r="18" spans="1:11" x14ac:dyDescent="0.35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35">
      <c r="A20" t="s">
        <v>46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0</v>
      </c>
      <c r="D20" s="4">
        <f>IF('Profit &amp; Loss'!D4&gt;0,'Balance Sheet'!D17/('Profit &amp; Loss'!D4/365),0)</f>
        <v>0</v>
      </c>
      <c r="E20" s="4">
        <f>IF('Profit &amp; Loss'!E4&gt;0,'Balance Sheet'!E17/('Profit &amp; Loss'!E4/365),0)</f>
        <v>0</v>
      </c>
      <c r="F20" s="4">
        <f>IF('Profit &amp; Loss'!F4&gt;0,'Balance Sheet'!F17/('Profit &amp; Loss'!F4/365),0)</f>
        <v>0</v>
      </c>
      <c r="G20" s="4">
        <f>IF('Profit &amp; Loss'!G4&gt;0,'Balance Sheet'!G17/('Profit &amp; Loss'!G4/365),0)</f>
        <v>0</v>
      </c>
      <c r="H20" s="4">
        <f>IF('Profit &amp; Loss'!H4&gt;0,'Balance Sheet'!H17/('Profit &amp; Loss'!H4/365),0)</f>
        <v>0</v>
      </c>
      <c r="I20" s="4">
        <f>IF('Profit &amp; Loss'!I4&gt;0,'Balance Sheet'!I17/('Profit &amp; Loss'!I4/365),0)</f>
        <v>0</v>
      </c>
      <c r="J20" s="4">
        <f>IF('Profit &amp; Loss'!J4&gt;0,'Balance Sheet'!J17/('Profit &amp; Loss'!J4/365),0)</f>
        <v>0</v>
      </c>
      <c r="K20" s="4">
        <f>IF('Profit &amp; Loss'!K4&gt;0,'Balance Sheet'!K17/('Profit &amp; Loss'!K4/365),0)</f>
        <v>0</v>
      </c>
    </row>
    <row r="21" spans="1:11" x14ac:dyDescent="0.35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35">
      <c r="A23" s="2" t="s">
        <v>59</v>
      </c>
      <c r="B23" s="10">
        <f>IF(SUM('Balance Sheet'!B4:B5)&gt;0,'Profit &amp; Loss'!B12/SUM('Balance Sheet'!B4:B5),"")</f>
        <v>0.16646500123374144</v>
      </c>
      <c r="C23" s="10">
        <f>IF(SUM('Balance Sheet'!C4:C5)&gt;0,'Profit &amp; Loss'!C12/SUM('Balance Sheet'!C4:C5),"")</f>
        <v>0.16888838442421941</v>
      </c>
      <c r="D23" s="10">
        <f>IF(SUM('Balance Sheet'!D4:D5)&gt;0,'Profit &amp; Loss'!D12/SUM('Balance Sheet'!D4:D5),"")</f>
        <v>0.14532467909386093</v>
      </c>
      <c r="E23" s="10">
        <f>IF(SUM('Balance Sheet'!E4:E5)&gt;0,'Profit &amp; Loss'!E12/SUM('Balance Sheet'!E4:E5),"")</f>
        <v>0.15453702286663359</v>
      </c>
      <c r="F23" s="10">
        <f>IF(SUM('Balance Sheet'!F4:F5)&gt;0,'Profit &amp; Loss'!F12/SUM('Balance Sheet'!F4:F5),"")</f>
        <v>0.15172385820363912</v>
      </c>
      <c r="G23" s="10">
        <f>IF(SUM('Balance Sheet'!G4:G5)&gt;0,'Profit &amp; Loss'!G12/SUM('Balance Sheet'!G4:G5),"")</f>
        <v>0.15385654498268422</v>
      </c>
      <c r="H23" s="10">
        <f>IF(SUM('Balance Sheet'!H4:H5)&gt;0,'Profit &amp; Loss'!H12/SUM('Balance Sheet'!H4:H5),"")</f>
        <v>0.1589189721442453</v>
      </c>
      <c r="I23" s="10">
        <f>IF(SUM('Balance Sheet'!I4:I5)&gt;0,'Profit &amp; Loss'!I12/SUM('Balance Sheet'!I4:I5),"")</f>
        <v>0.1403652645377006</v>
      </c>
      <c r="J23" s="10">
        <f>IF(SUM('Balance Sheet'!J4:J5)&gt;0,'Profit &amp; Loss'!J12/SUM('Balance Sheet'!J4:J5),"")</f>
        <v>0.13567207642915086</v>
      </c>
      <c r="K23" s="10">
        <f>IF(SUM('Balance Sheet'!K4:K5)&gt;0,'Profit &amp; Loss'!K12/SUM('Balance Sheet'!K4:K5),"")</f>
        <v>0.13073790645513897</v>
      </c>
    </row>
    <row r="24" spans="1:11" s="2" customFormat="1" x14ac:dyDescent="0.35">
      <c r="A24" s="2" t="s">
        <v>60</v>
      </c>
      <c r="B24" s="10"/>
      <c r="C24" s="10">
        <f>IF((B4+B5+B6+C4+C5+C6)&gt;0,('Profit &amp; Loss'!C10+'Profit &amp; Loss'!C9)*2/(B4+B5+B6+C4+C5+C6),"")</f>
        <v>7.5057626890627449E-2</v>
      </c>
      <c r="D24" s="10">
        <f>IF((C4+C5+C6+D4+D5+D6)&gt;0,('Profit &amp; Loss'!D10+'Profit &amp; Loss'!D9)*2/(C4+C5+C6+D4+D5+D6),"")</f>
        <v>7.6939132674659572E-2</v>
      </c>
      <c r="E24" s="10">
        <f>IF((D4+D5+D6+E4+E5+E6)&gt;0,('Profit &amp; Loss'!E10+'Profit &amp; Loss'!E9)*2/(D4+D5+D6+E4+E5+E6),"")</f>
        <v>7.3146923174088177E-2</v>
      </c>
      <c r="F24" s="10">
        <f>IF((E4+E5+E6+F4+F5+F6)&gt;0,('Profit &amp; Loss'!F10+'Profit &amp; Loss'!F9)*2/(E4+E5+E6+F4+F5+F6),"")</f>
        <v>6.3172696617161697E-2</v>
      </c>
      <c r="G24" s="10">
        <f>IF((F4+F5+F6+G4+G5+G6)&gt;0,('Profit &amp; Loss'!G10+'Profit &amp; Loss'!G9)*2/(F4+F5+F6+G4+G5+G6),"")</f>
        <v>5.8322645375738287E-2</v>
      </c>
      <c r="H24" s="10">
        <f>IF((G4+G5+G6+H4+H5+H6)&gt;0,('Profit &amp; Loss'!H10+'Profit &amp; Loss'!H9)*2/(G4+G5+G6+H4+H5+H6),"")</f>
        <v>6.2443417959921955E-2</v>
      </c>
      <c r="I24" s="10">
        <f>IF((H4+H5+H6+I4+I5+I6)&gt;0,('Profit &amp; Loss'!I10+'Profit &amp; Loss'!I9)*2/(H4+H5+H6+I4+I5+I6),"")</f>
        <v>7.6998022577176431E-2</v>
      </c>
      <c r="J24" s="10">
        <f>IF((I4+I5+I6+J4+J5+J6)&gt;0,('Profit &amp; Loss'!J10+'Profit &amp; Loss'!J9)*2/(I4+I5+I6+J4+J5+J6),"")</f>
        <v>7.5394709465676807E-2</v>
      </c>
      <c r="K24" s="10">
        <f>IF((J4+J5+J6+K4+K5+K6)&gt;0,('Profit &amp; Loss'!K10+'Profit &amp; Loss'!K9)*2/(J4+J5+J6+K4+K5+K6),"")</f>
        <v>7.0698080532553262E-2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HDFC BANK LTD</v>
      </c>
      <c r="E1" t="str">
        <f>UPDATE</f>
        <v/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35">
      <c r="A4" s="2" t="s">
        <v>32</v>
      </c>
      <c r="B4" s="1">
        <f>'Data Sheet'!B82</f>
        <v>17281.59</v>
      </c>
      <c r="C4" s="1">
        <f>'Data Sheet'!C82</f>
        <v>17214.38</v>
      </c>
      <c r="D4" s="1">
        <f>'Data Sheet'!D82</f>
        <v>-62871.54</v>
      </c>
      <c r="E4" s="1">
        <f>'Data Sheet'!E82</f>
        <v>-16869.09</v>
      </c>
      <c r="F4" s="1">
        <f>'Data Sheet'!F82</f>
        <v>42476.45</v>
      </c>
      <c r="G4" s="1">
        <f>'Data Sheet'!G82</f>
        <v>-11959.57</v>
      </c>
      <c r="H4" s="1">
        <f>'Data Sheet'!H82</f>
        <v>20813.7</v>
      </c>
      <c r="I4" s="1">
        <f>'Data Sheet'!I82</f>
        <v>19069.34</v>
      </c>
      <c r="J4" s="1">
        <f>'Data Sheet'!J82</f>
        <v>127241.84</v>
      </c>
      <c r="K4" s="1">
        <f>'Data Sheet'!K82</f>
        <v>113506.38</v>
      </c>
    </row>
    <row r="5" spans="1:11" x14ac:dyDescent="0.35">
      <c r="A5" t="s">
        <v>33</v>
      </c>
      <c r="B5" s="6">
        <f>'Data Sheet'!B83</f>
        <v>-1146.3800000000001</v>
      </c>
      <c r="C5" s="6">
        <f>'Data Sheet'!C83</f>
        <v>-841.6</v>
      </c>
      <c r="D5" s="6">
        <f>'Data Sheet'!D83</f>
        <v>-1503.06</v>
      </c>
      <c r="E5" s="6">
        <f>'Data Sheet'!E83</f>
        <v>-1402.94</v>
      </c>
      <c r="F5" s="6">
        <f>'Data Sheet'!F83</f>
        <v>-1822.7</v>
      </c>
      <c r="G5" s="6">
        <f>'Data Sheet'!G83</f>
        <v>-2051.23</v>
      </c>
      <c r="H5" s="6">
        <f>'Data Sheet'!H83</f>
        <v>-2992.18</v>
      </c>
      <c r="I5" s="6">
        <f>'Data Sheet'!I83</f>
        <v>16600.419999999998</v>
      </c>
      <c r="J5" s="6">
        <f>'Data Sheet'!J83</f>
        <v>-3650.91</v>
      </c>
      <c r="K5" s="6">
        <f>'Data Sheet'!K83</f>
        <v>6362.72</v>
      </c>
    </row>
    <row r="6" spans="1:11" x14ac:dyDescent="0.35">
      <c r="A6" t="s">
        <v>34</v>
      </c>
      <c r="B6" s="6">
        <f>'Data Sheet'!B84</f>
        <v>-5892.97</v>
      </c>
      <c r="C6" s="6">
        <f>'Data Sheet'!C84</f>
        <v>57377.66</v>
      </c>
      <c r="D6" s="6">
        <f>'Data Sheet'!D84</f>
        <v>23130.69</v>
      </c>
      <c r="E6" s="6">
        <f>'Data Sheet'!E84</f>
        <v>24394.5</v>
      </c>
      <c r="F6" s="6">
        <f>'Data Sheet'!F84</f>
        <v>-7321.35</v>
      </c>
      <c r="G6" s="6">
        <f>'Data Sheet'!G84</f>
        <v>48124.02</v>
      </c>
      <c r="H6" s="6">
        <f>'Data Sheet'!H84</f>
        <v>23940.560000000001</v>
      </c>
      <c r="I6" s="6">
        <f>'Data Sheet'!I84</f>
        <v>-3983.06</v>
      </c>
      <c r="J6" s="6">
        <f>'Data Sheet'!J84</f>
        <v>-102477.54</v>
      </c>
      <c r="K6" s="6">
        <f>'Data Sheet'!K84</f>
        <v>-59004.85</v>
      </c>
    </row>
    <row r="7" spans="1:11" s="2" customFormat="1" x14ac:dyDescent="0.35">
      <c r="A7" s="2" t="s">
        <v>35</v>
      </c>
      <c r="B7" s="1">
        <f>'Data Sheet'!B85</f>
        <v>10242.24</v>
      </c>
      <c r="C7" s="1">
        <f>'Data Sheet'!C85</f>
        <v>73750.44</v>
      </c>
      <c r="D7" s="1">
        <f>'Data Sheet'!D85</f>
        <v>-41243.910000000003</v>
      </c>
      <c r="E7" s="1">
        <f>'Data Sheet'!E85</f>
        <v>6122.47</v>
      </c>
      <c r="F7" s="1">
        <f>'Data Sheet'!F85</f>
        <v>33332.400000000001</v>
      </c>
      <c r="G7" s="1">
        <f>'Data Sheet'!G85</f>
        <v>34113.22</v>
      </c>
      <c r="H7" s="1">
        <f>'Data Sheet'!H85</f>
        <v>41762.080000000002</v>
      </c>
      <c r="I7" s="1">
        <f>'Data Sheet'!I85</f>
        <v>31686.7</v>
      </c>
      <c r="J7" s="1">
        <f>'Data Sheet'!J85</f>
        <v>21113.39</v>
      </c>
      <c r="K7" s="1">
        <f>'Data Sheet'!K85</f>
        <v>60864.25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1640625" defaultRowHeight="14.5" x14ac:dyDescent="0.35"/>
  <cols>
    <col min="1" max="1" width="8.81640625" style="2"/>
    <col min="2" max="2" width="10.453125" customWidth="1"/>
    <col min="3" max="3" width="13.36328125" style="20" customWidth="1"/>
    <col min="6" max="6" width="6.81640625" customWidth="1"/>
  </cols>
  <sheetData>
    <row r="1" spans="1:7" ht="21" x14ac:dyDescent="0.5">
      <c r="A1" s="19" t="s">
        <v>56</v>
      </c>
    </row>
    <row r="3" spans="1:7" x14ac:dyDescent="0.35">
      <c r="A3" s="2" t="s">
        <v>48</v>
      </c>
    </row>
    <row r="4" spans="1:7" x14ac:dyDescent="0.35">
      <c r="B4" t="s">
        <v>90</v>
      </c>
    </row>
    <row r="5" spans="1:7" x14ac:dyDescent="0.35">
      <c r="B5" t="s">
        <v>49</v>
      </c>
    </row>
    <row r="7" spans="1:7" x14ac:dyDescent="0.35">
      <c r="A7" s="2" t="s">
        <v>50</v>
      </c>
    </row>
    <row r="8" spans="1:7" x14ac:dyDescent="0.35">
      <c r="B8" t="s">
        <v>51</v>
      </c>
      <c r="C8" s="21" t="s">
        <v>91</v>
      </c>
    </row>
    <row r="10" spans="1:7" x14ac:dyDescent="0.35">
      <c r="A10" s="2" t="s">
        <v>52</v>
      </c>
    </row>
    <row r="11" spans="1:7" x14ac:dyDescent="0.35">
      <c r="B11" t="s">
        <v>53</v>
      </c>
    </row>
    <row r="14" spans="1:7" x14ac:dyDescent="0.35">
      <c r="A14" s="2" t="s">
        <v>54</v>
      </c>
    </row>
    <row r="15" spans="1:7" x14ac:dyDescent="0.35">
      <c r="B15" t="s">
        <v>55</v>
      </c>
    </row>
    <row r="16" spans="1:7" x14ac:dyDescent="0.3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2707-D84C-44FF-BF5C-AD62C98ABE82}">
  <dimension ref="A2:N52"/>
  <sheetViews>
    <sheetView showGridLines="0" zoomScaleNormal="100" workbookViewId="0">
      <selection activeCell="J11" sqref="J11"/>
    </sheetView>
  </sheetViews>
  <sheetFormatPr defaultRowHeight="14.5" x14ac:dyDescent="0.35"/>
  <cols>
    <col min="1" max="1" width="1.81640625" customWidth="1"/>
    <col min="3" max="3" width="10.26953125" customWidth="1"/>
    <col min="4" max="4" width="26.90625" customWidth="1"/>
    <col min="13" max="13" width="13.1796875" customWidth="1"/>
  </cols>
  <sheetData>
    <row r="2" spans="1:14" ht="18.5" x14ac:dyDescent="0.45">
      <c r="B2" s="137" t="str">
        <f>'Data Sheet'!B1</f>
        <v>HDFC BANK LTD</v>
      </c>
      <c r="C2" s="59"/>
      <c r="D2" s="59"/>
      <c r="E2" s="59"/>
      <c r="F2" s="59"/>
      <c r="G2" s="59"/>
      <c r="H2" s="59"/>
      <c r="I2" s="59"/>
      <c r="J2" s="59"/>
      <c r="K2" s="59"/>
    </row>
    <row r="3" spans="1:14" x14ac:dyDescent="0.35"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4" ht="15.5" x14ac:dyDescent="0.35">
      <c r="B4" s="138" t="s">
        <v>273</v>
      </c>
      <c r="C4" s="59"/>
      <c r="D4" s="59"/>
      <c r="E4" s="59"/>
      <c r="F4" s="59"/>
      <c r="G4" s="59"/>
      <c r="H4" s="59"/>
      <c r="I4" s="59"/>
      <c r="J4" s="59"/>
      <c r="K4" s="59"/>
    </row>
    <row r="6" spans="1:14" x14ac:dyDescent="0.35">
      <c r="B6" t="s">
        <v>274</v>
      </c>
      <c r="D6" t="s">
        <v>275</v>
      </c>
    </row>
    <row r="7" spans="1:14" x14ac:dyDescent="0.35">
      <c r="D7" t="s">
        <v>276</v>
      </c>
      <c r="L7" s="112" t="s">
        <v>304</v>
      </c>
      <c r="M7" s="112"/>
      <c r="N7" s="112" t="s">
        <v>305</v>
      </c>
    </row>
    <row r="9" spans="1:14" x14ac:dyDescent="0.35">
      <c r="B9" t="s">
        <v>278</v>
      </c>
      <c r="D9" s="139" t="str">
        <f>'Data Sheet'!B1</f>
        <v>HDFC BANK LTD</v>
      </c>
      <c r="L9" t="s">
        <v>306</v>
      </c>
      <c r="N9" s="146" t="str">
        <f>"₹"&amp;TEXT('Excess Return Val'!D37, "#,##0.0")</f>
        <v>₹745.0</v>
      </c>
    </row>
    <row r="10" spans="1:14" ht="14.5" customHeight="1" x14ac:dyDescent="0.35">
      <c r="B10" s="140" t="s">
        <v>277</v>
      </c>
      <c r="D10" s="129" t="s">
        <v>282</v>
      </c>
    </row>
    <row r="11" spans="1:14" x14ac:dyDescent="0.35">
      <c r="B11" t="s">
        <v>279</v>
      </c>
      <c r="D11" s="143" t="s">
        <v>281</v>
      </c>
      <c r="L11" t="s">
        <v>307</v>
      </c>
      <c r="N11" s="139" t="str">
        <f>"₹"&amp;TEXT('Excess Return Val'!D35, "#,##0.0")</f>
        <v>₹372.9</v>
      </c>
    </row>
    <row r="12" spans="1:14" x14ac:dyDescent="0.35">
      <c r="B12" t="s">
        <v>280</v>
      </c>
      <c r="D12" s="145">
        <f ca="1">TODAY()</f>
        <v>46208</v>
      </c>
    </row>
    <row r="13" spans="1:14" x14ac:dyDescent="0.35">
      <c r="L13" t="s">
        <v>308</v>
      </c>
    </row>
    <row r="14" spans="1:14" x14ac:dyDescent="0.35">
      <c r="A14" t="s">
        <v>95</v>
      </c>
      <c r="B14" s="59" t="s">
        <v>283</v>
      </c>
      <c r="C14" s="59"/>
      <c r="D14" s="59"/>
      <c r="E14" s="59"/>
      <c r="F14" s="59"/>
      <c r="G14" s="59"/>
      <c r="H14" s="59"/>
    </row>
    <row r="15" spans="1:14" x14ac:dyDescent="0.35">
      <c r="L15" t="s">
        <v>309</v>
      </c>
      <c r="N15" s="144"/>
    </row>
    <row r="16" spans="1:14" x14ac:dyDescent="0.35">
      <c r="D16" s="142" t="s">
        <v>284</v>
      </c>
    </row>
    <row r="17" spans="4:4" ht="6" customHeight="1" x14ac:dyDescent="0.35">
      <c r="D17" s="141"/>
    </row>
    <row r="18" spans="4:4" x14ac:dyDescent="0.35">
      <c r="D18" s="142" t="s">
        <v>285</v>
      </c>
    </row>
    <row r="19" spans="4:4" ht="6" customHeight="1" x14ac:dyDescent="0.35">
      <c r="D19" s="141"/>
    </row>
    <row r="20" spans="4:4" x14ac:dyDescent="0.35">
      <c r="D20" s="142" t="s">
        <v>286</v>
      </c>
    </row>
    <row r="21" spans="4:4" ht="6" customHeight="1" x14ac:dyDescent="0.35">
      <c r="D21" s="141"/>
    </row>
    <row r="22" spans="4:4" x14ac:dyDescent="0.35">
      <c r="D22" s="142" t="s">
        <v>287</v>
      </c>
    </row>
    <row r="23" spans="4:4" ht="6" customHeight="1" x14ac:dyDescent="0.35">
      <c r="D23" s="141"/>
    </row>
    <row r="24" spans="4:4" x14ac:dyDescent="0.35">
      <c r="D24" s="142" t="s">
        <v>288</v>
      </c>
    </row>
    <row r="25" spans="4:4" ht="6" customHeight="1" x14ac:dyDescent="0.35">
      <c r="D25" s="141"/>
    </row>
    <row r="26" spans="4:4" x14ac:dyDescent="0.35">
      <c r="D26" s="142" t="s">
        <v>239</v>
      </c>
    </row>
    <row r="27" spans="4:4" ht="6" customHeight="1" x14ac:dyDescent="0.35">
      <c r="D27" s="141"/>
    </row>
    <row r="28" spans="4:4" x14ac:dyDescent="0.35">
      <c r="D28" s="142" t="s">
        <v>193</v>
      </c>
    </row>
    <row r="29" spans="4:4" ht="6" customHeight="1" x14ac:dyDescent="0.35">
      <c r="D29" s="141"/>
    </row>
    <row r="30" spans="4:4" x14ac:dyDescent="0.35">
      <c r="D30" s="142" t="s">
        <v>290</v>
      </c>
    </row>
    <row r="31" spans="4:4" ht="6" customHeight="1" x14ac:dyDescent="0.35">
      <c r="D31" s="141"/>
    </row>
    <row r="32" spans="4:4" x14ac:dyDescent="0.35">
      <c r="D32" s="142" t="s">
        <v>291</v>
      </c>
    </row>
    <row r="34" spans="1:8" x14ac:dyDescent="0.35">
      <c r="A34" t="s">
        <v>95</v>
      </c>
      <c r="B34" s="59" t="s">
        <v>292</v>
      </c>
      <c r="C34" s="59"/>
      <c r="D34" s="59"/>
      <c r="E34" s="59"/>
      <c r="F34" s="59"/>
      <c r="G34" s="59"/>
      <c r="H34" s="59"/>
    </row>
    <row r="36" spans="1:8" x14ac:dyDescent="0.35">
      <c r="D36" s="112" t="s">
        <v>293</v>
      </c>
      <c r="E36" s="112"/>
      <c r="F36" s="112" t="s">
        <v>294</v>
      </c>
    </row>
    <row r="38" spans="1:8" x14ac:dyDescent="0.35">
      <c r="D38" t="s">
        <v>295</v>
      </c>
      <c r="E38" t="s">
        <v>296</v>
      </c>
    </row>
    <row r="41" spans="1:8" x14ac:dyDescent="0.35">
      <c r="D41" t="s">
        <v>297</v>
      </c>
      <c r="E41" t="s">
        <v>298</v>
      </c>
    </row>
    <row r="44" spans="1:8" x14ac:dyDescent="0.35">
      <c r="D44" t="s">
        <v>289</v>
      </c>
      <c r="E44" t="s">
        <v>299</v>
      </c>
    </row>
    <row r="47" spans="1:8" x14ac:dyDescent="0.35">
      <c r="D47" t="s">
        <v>250</v>
      </c>
      <c r="E47" t="s">
        <v>300</v>
      </c>
    </row>
    <row r="50" spans="2:5" x14ac:dyDescent="0.35">
      <c r="D50" t="s">
        <v>301</v>
      </c>
      <c r="E50" t="s">
        <v>302</v>
      </c>
    </row>
    <row r="52" spans="2:5" x14ac:dyDescent="0.35">
      <c r="B52" s="27" t="s">
        <v>303</v>
      </c>
    </row>
  </sheetData>
  <hyperlinks>
    <hyperlink ref="D18" location="'Data Sheet'!A1" display="Data Sheet" xr:uid="{452A64DE-2553-4143-BB4D-EA66A81B55B0}"/>
    <hyperlink ref="D20" location="HistoricalFS!A1" display="Historical Financial Statement" xr:uid="{A248BB5B-4A43-41ED-8E11-46E9E167CABD}"/>
    <hyperlink ref="D22" location="'Raw FS'!A1" display="Raw Financial Data" xr:uid="{FE127EA0-50C2-42A2-93C2-E5A855E695FE}"/>
    <hyperlink ref="D24" location="Beta!A1" display="Regression Beta" xr:uid="{BD9DD1C5-653A-457B-9C08-39C56A7AF74D}"/>
    <hyperlink ref="D26" location="'Cost of Equity'!A1" display="Cost of Equity" xr:uid="{BD9E4C68-F745-4FA3-ACCE-461BFF63BBC4}"/>
    <hyperlink ref="D28" location="Rm!A1" display="Return on Markets" xr:uid="{01955739-129E-40EB-BDF2-83C6E56F4003}"/>
    <hyperlink ref="D30" location="Forecasting!A1" display="Equity Forecasting" xr:uid="{8DD311AB-1599-4907-93A3-7BB500CFD8D4}"/>
    <hyperlink ref="D32" location="'Excess Return Val'!A1" display="Excess Returns Valuation" xr:uid="{2F504D86-1D14-4062-95B6-EDBF658F686F}"/>
    <hyperlink ref="D16" location="'Investment Summary'!A1" display="Investment Summary" xr:uid="{4F1E1742-3E79-4751-B728-391D97B2D98C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117E-8734-4DDD-828F-39557C3EC06D}">
  <dimension ref="A2:K12"/>
  <sheetViews>
    <sheetView showGridLines="0" workbookViewId="0">
      <selection activeCell="B14" sqref="B14"/>
    </sheetView>
  </sheetViews>
  <sheetFormatPr defaultRowHeight="14.5" x14ac:dyDescent="0.35"/>
  <cols>
    <col min="1" max="1" width="1.81640625" customWidth="1"/>
    <col min="2" max="2" width="18.7265625" customWidth="1"/>
  </cols>
  <sheetData>
    <row r="2" spans="1:11" ht="18.5" x14ac:dyDescent="0.45">
      <c r="B2" s="137" t="str">
        <f>'Data Sheet'!B1</f>
        <v>HDFC BANK LTD</v>
      </c>
      <c r="C2" s="59"/>
      <c r="D2" s="59"/>
      <c r="E2" s="59"/>
      <c r="F2" s="59"/>
      <c r="G2" s="59"/>
      <c r="H2" s="59"/>
      <c r="I2" s="59"/>
      <c r="J2" s="59"/>
      <c r="K2" s="59"/>
    </row>
    <row r="3" spans="1:11" x14ac:dyDescent="0.35"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1" ht="15.5" x14ac:dyDescent="0.35">
      <c r="B4" s="138" t="s">
        <v>273</v>
      </c>
      <c r="C4" s="59"/>
      <c r="D4" s="59"/>
      <c r="E4" s="59"/>
      <c r="F4" s="59"/>
      <c r="G4" s="59"/>
      <c r="H4" s="59"/>
      <c r="I4" s="59"/>
      <c r="J4" s="59"/>
      <c r="K4" s="59"/>
    </row>
    <row r="6" spans="1:11" x14ac:dyDescent="0.35">
      <c r="A6" t="s">
        <v>310</v>
      </c>
      <c r="B6" s="59" t="s">
        <v>311</v>
      </c>
      <c r="C6" s="59"/>
      <c r="D6" s="59"/>
      <c r="E6" s="59"/>
      <c r="F6" s="59"/>
      <c r="G6" s="59"/>
      <c r="H6" s="59"/>
      <c r="I6" s="59"/>
      <c r="J6" s="59"/>
      <c r="K6" s="59"/>
    </row>
    <row r="8" spans="1:11" x14ac:dyDescent="0.35">
      <c r="B8" t="s">
        <v>306</v>
      </c>
      <c r="D8" s="146" t="str">
        <f>Index!N9</f>
        <v>₹745.0</v>
      </c>
    </row>
    <row r="10" spans="1:11" x14ac:dyDescent="0.35">
      <c r="B10" t="s">
        <v>307</v>
      </c>
      <c r="D10" s="139" t="str">
        <f>Index!N11</f>
        <v>₹372.9</v>
      </c>
    </row>
    <row r="12" spans="1:11" x14ac:dyDescent="0.35">
      <c r="A12" t="s">
        <v>310</v>
      </c>
      <c r="B12" s="59" t="s">
        <v>312</v>
      </c>
      <c r="C12" s="59"/>
      <c r="D12" s="59"/>
      <c r="E12" s="59"/>
      <c r="F12" s="59"/>
      <c r="G12" s="59"/>
      <c r="H12" s="59"/>
      <c r="I12" s="59"/>
      <c r="J12" s="59"/>
      <c r="K12" s="5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Normal="10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K93" sqref="K93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6384" width="8.81640625" style="4"/>
  </cols>
  <sheetData>
    <row r="1" spans="1:11" s="1" customFormat="1" x14ac:dyDescent="0.35">
      <c r="A1" s="1" t="s">
        <v>0</v>
      </c>
      <c r="B1" s="1" t="s">
        <v>63</v>
      </c>
      <c r="E1" s="147" t="str">
        <f>IF(B2&lt;&gt;B3, "A NEW VERSION OF THE WORKSHEET IS AVAILABLE", "")</f>
        <v/>
      </c>
      <c r="F1" s="147"/>
      <c r="G1" s="147"/>
      <c r="H1" s="147"/>
      <c r="I1" s="147"/>
      <c r="J1" s="147"/>
      <c r="K1" s="147"/>
    </row>
    <row r="2" spans="1:11" x14ac:dyDescent="0.35">
      <c r="A2" s="1" t="s">
        <v>61</v>
      </c>
      <c r="B2" s="4">
        <v>2.1</v>
      </c>
      <c r="E2" s="148" t="s">
        <v>36</v>
      </c>
      <c r="F2" s="148"/>
      <c r="G2" s="148"/>
      <c r="H2" s="148"/>
      <c r="I2" s="148"/>
      <c r="J2" s="148"/>
      <c r="K2" s="148"/>
    </row>
    <row r="3" spans="1:11" x14ac:dyDescent="0.35">
      <c r="A3" s="1" t="s">
        <v>62</v>
      </c>
      <c r="B3" s="4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4" t="s">
        <v>42</v>
      </c>
      <c r="B6" s="4">
        <f>IF(B9&gt;0, B9/B8, 0)</f>
        <v>1539.7648582995951</v>
      </c>
    </row>
    <row r="7" spans="1:11" x14ac:dyDescent="0.35">
      <c r="A7" s="4" t="s">
        <v>31</v>
      </c>
      <c r="B7">
        <v>1</v>
      </c>
    </row>
    <row r="8" spans="1:11" x14ac:dyDescent="0.35">
      <c r="A8" s="4" t="s">
        <v>43</v>
      </c>
      <c r="B8">
        <v>741</v>
      </c>
    </row>
    <row r="9" spans="1:11" x14ac:dyDescent="0.35">
      <c r="A9" s="4" t="s">
        <v>79</v>
      </c>
      <c r="B9">
        <v>1140965.76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35">
      <c r="A17" s="6" t="s">
        <v>6</v>
      </c>
      <c r="B17">
        <v>73271.350000000006</v>
      </c>
      <c r="C17">
        <v>85287.84</v>
      </c>
      <c r="D17">
        <v>105160.74</v>
      </c>
      <c r="E17">
        <v>122189.29</v>
      </c>
      <c r="F17">
        <v>128552.4</v>
      </c>
      <c r="G17">
        <v>135936.41</v>
      </c>
      <c r="H17">
        <v>170754.05</v>
      </c>
      <c r="I17">
        <v>283649.02</v>
      </c>
      <c r="J17">
        <v>336367.43</v>
      </c>
      <c r="K17">
        <v>348615.15</v>
      </c>
    </row>
    <row r="18" spans="1:11" s="6" customFormat="1" x14ac:dyDescent="0.35">
      <c r="A18" s="4" t="s">
        <v>80</v>
      </c>
      <c r="B18"/>
      <c r="C18"/>
      <c r="D18"/>
      <c r="E18"/>
      <c r="F18"/>
      <c r="G18"/>
      <c r="H18"/>
      <c r="I18"/>
      <c r="J18"/>
      <c r="K18"/>
    </row>
    <row r="19" spans="1:11" s="6" customFormat="1" x14ac:dyDescent="0.35">
      <c r="A19" s="4" t="s">
        <v>81</v>
      </c>
      <c r="B19"/>
      <c r="C19"/>
      <c r="D19"/>
      <c r="E19"/>
      <c r="F19"/>
      <c r="G19"/>
      <c r="H19"/>
      <c r="I19"/>
      <c r="J19"/>
      <c r="K19"/>
    </row>
    <row r="20" spans="1:11" s="6" customFormat="1" x14ac:dyDescent="0.35">
      <c r="A20" s="4" t="s">
        <v>82</v>
      </c>
      <c r="B20"/>
      <c r="C20"/>
      <c r="D20"/>
      <c r="E20"/>
      <c r="F20"/>
      <c r="G20"/>
      <c r="H20"/>
      <c r="I20"/>
      <c r="J20"/>
      <c r="K20"/>
    </row>
    <row r="21" spans="1:11" s="6" customFormat="1" x14ac:dyDescent="0.35">
      <c r="A21" s="4" t="s">
        <v>83</v>
      </c>
      <c r="B21">
        <v>1271.8</v>
      </c>
      <c r="C21">
        <v>1314.97</v>
      </c>
      <c r="D21">
        <v>1283.53</v>
      </c>
      <c r="E21">
        <v>1293.44</v>
      </c>
      <c r="F21">
        <v>1649.11</v>
      </c>
      <c r="G21">
        <v>1772.27</v>
      </c>
      <c r="H21">
        <v>2176.5</v>
      </c>
      <c r="I21">
        <v>3255.75</v>
      </c>
      <c r="J21">
        <v>3943.56</v>
      </c>
      <c r="K21"/>
    </row>
    <row r="22" spans="1:11" s="6" customFormat="1" x14ac:dyDescent="0.35">
      <c r="A22" s="4" t="s">
        <v>84</v>
      </c>
      <c r="B22">
        <v>8508.2199999999993</v>
      </c>
      <c r="C22">
        <v>9197.15</v>
      </c>
      <c r="D22">
        <v>10454.75</v>
      </c>
      <c r="E22">
        <v>12924.1</v>
      </c>
      <c r="F22">
        <v>13682.35</v>
      </c>
      <c r="G22">
        <v>15904.81</v>
      </c>
      <c r="H22">
        <v>20031.36</v>
      </c>
      <c r="I22">
        <v>31050.07</v>
      </c>
      <c r="J22">
        <v>34167.89</v>
      </c>
      <c r="K22">
        <v>37604.81</v>
      </c>
    </row>
    <row r="23" spans="1:11" s="6" customFormat="1" x14ac:dyDescent="0.35">
      <c r="A23" s="4" t="s">
        <v>85</v>
      </c>
      <c r="B23">
        <v>3328.39</v>
      </c>
      <c r="C23">
        <v>3658.43</v>
      </c>
      <c r="D23">
        <v>3900.17</v>
      </c>
      <c r="E23">
        <v>4192.1499999999996</v>
      </c>
      <c r="F23">
        <v>4780.54</v>
      </c>
      <c r="G23">
        <v>5406.79</v>
      </c>
      <c r="H23">
        <v>6580</v>
      </c>
      <c r="I23">
        <v>87580.05</v>
      </c>
      <c r="J23">
        <v>105188.45</v>
      </c>
      <c r="K23"/>
    </row>
    <row r="24" spans="1:11" s="6" customFormat="1" x14ac:dyDescent="0.35">
      <c r="A24" s="4" t="s">
        <v>86</v>
      </c>
      <c r="B24">
        <v>10747.28</v>
      </c>
      <c r="C24">
        <v>15361.71</v>
      </c>
      <c r="D24">
        <v>19217.82</v>
      </c>
      <c r="E24">
        <v>27049.52</v>
      </c>
      <c r="F24">
        <v>32344.53</v>
      </c>
      <c r="G24">
        <v>33473.089999999997</v>
      </c>
      <c r="H24">
        <v>34254.44</v>
      </c>
      <c r="I24">
        <v>52309.67</v>
      </c>
      <c r="J24">
        <v>43674.55</v>
      </c>
      <c r="K24">
        <v>170225.32</v>
      </c>
    </row>
    <row r="25" spans="1:11" s="6" customFormat="1" x14ac:dyDescent="0.35">
      <c r="A25" s="6" t="s">
        <v>9</v>
      </c>
      <c r="B25">
        <v>12905.08</v>
      </c>
      <c r="C25">
        <v>16056.6</v>
      </c>
      <c r="D25">
        <v>18947.05</v>
      </c>
      <c r="E25">
        <v>24878.97</v>
      </c>
      <c r="F25">
        <v>27332.880000000001</v>
      </c>
      <c r="G25">
        <v>31758.99</v>
      </c>
      <c r="H25">
        <v>33912.050000000003</v>
      </c>
      <c r="I25">
        <v>124345.75</v>
      </c>
      <c r="J25">
        <v>134548.5</v>
      </c>
      <c r="K25">
        <v>146847.66</v>
      </c>
    </row>
    <row r="26" spans="1:11" s="6" customFormat="1" x14ac:dyDescent="0.35">
      <c r="A26" s="6" t="s">
        <v>10</v>
      </c>
      <c r="B26">
        <v>886.19</v>
      </c>
      <c r="C26">
        <v>966.78</v>
      </c>
      <c r="D26">
        <v>1220.67</v>
      </c>
      <c r="E26">
        <v>1276.77</v>
      </c>
      <c r="F26">
        <v>1385.01</v>
      </c>
      <c r="G26">
        <v>1680.73</v>
      </c>
      <c r="H26">
        <v>2345.4699999999998</v>
      </c>
      <c r="I26">
        <v>3092.08</v>
      </c>
      <c r="J26">
        <v>3805.23</v>
      </c>
      <c r="K26"/>
    </row>
    <row r="27" spans="1:11" s="6" customFormat="1" x14ac:dyDescent="0.35">
      <c r="A27" s="6" t="s">
        <v>11</v>
      </c>
      <c r="B27">
        <v>38041.58</v>
      </c>
      <c r="C27">
        <v>42381.48</v>
      </c>
      <c r="D27">
        <v>53712.69</v>
      </c>
      <c r="E27">
        <v>62137.42</v>
      </c>
      <c r="F27">
        <v>59247.59</v>
      </c>
      <c r="G27">
        <v>58584.33</v>
      </c>
      <c r="H27">
        <v>77779.94</v>
      </c>
      <c r="I27">
        <v>154138.54999999999</v>
      </c>
      <c r="J27">
        <v>183894.2</v>
      </c>
      <c r="K27">
        <v>185491.23</v>
      </c>
    </row>
    <row r="28" spans="1:11" s="6" customFormat="1" x14ac:dyDescent="0.35">
      <c r="A28" s="6" t="s">
        <v>12</v>
      </c>
      <c r="B28">
        <v>23392.97</v>
      </c>
      <c r="C28">
        <v>28463.919999999998</v>
      </c>
      <c r="D28">
        <v>34318.160000000003</v>
      </c>
      <c r="E28">
        <v>38194.86</v>
      </c>
      <c r="F28">
        <v>42796.15</v>
      </c>
      <c r="G28">
        <v>50873.38</v>
      </c>
      <c r="H28">
        <v>61498.39</v>
      </c>
      <c r="I28">
        <v>76568.600000000006</v>
      </c>
      <c r="J28">
        <v>96242.05</v>
      </c>
      <c r="K28">
        <v>102141.45</v>
      </c>
    </row>
    <row r="29" spans="1:11" s="6" customFormat="1" x14ac:dyDescent="0.35">
      <c r="A29" s="6" t="s">
        <v>13</v>
      </c>
      <c r="B29">
        <v>8078.12</v>
      </c>
      <c r="C29">
        <v>9903.08</v>
      </c>
      <c r="D29">
        <v>11872.55</v>
      </c>
      <c r="E29">
        <v>10898.59</v>
      </c>
      <c r="F29">
        <v>10939.38</v>
      </c>
      <c r="G29">
        <v>12722.48</v>
      </c>
      <c r="H29">
        <v>15349.69</v>
      </c>
      <c r="I29">
        <v>11122.1</v>
      </c>
      <c r="J29">
        <v>22801.88</v>
      </c>
      <c r="K29">
        <v>22921.99</v>
      </c>
    </row>
    <row r="30" spans="1:11" s="6" customFormat="1" x14ac:dyDescent="0.35">
      <c r="A30" s="6" t="s">
        <v>14</v>
      </c>
      <c r="B30">
        <v>15280.48</v>
      </c>
      <c r="C30">
        <v>18510.02</v>
      </c>
      <c r="D30">
        <v>22332.43</v>
      </c>
      <c r="E30">
        <v>27253.95</v>
      </c>
      <c r="F30">
        <v>31833.21</v>
      </c>
      <c r="G30">
        <v>38052.75</v>
      </c>
      <c r="H30">
        <v>45997.11</v>
      </c>
      <c r="I30">
        <v>64062.04</v>
      </c>
      <c r="J30">
        <v>70792.25</v>
      </c>
      <c r="K30">
        <v>76025.97</v>
      </c>
    </row>
    <row r="31" spans="1:11" s="6" customFormat="1" x14ac:dyDescent="0.35">
      <c r="A31" s="6" t="s">
        <v>70</v>
      </c>
      <c r="B31">
        <v>2818.8</v>
      </c>
      <c r="C31">
        <v>3373.63</v>
      </c>
      <c r="D31">
        <v>4084.95</v>
      </c>
      <c r="E31">
        <v>1370.82</v>
      </c>
      <c r="F31">
        <v>3583.32</v>
      </c>
      <c r="G31">
        <v>8595.52</v>
      </c>
      <c r="H31">
        <v>10601.43</v>
      </c>
      <c r="I31">
        <v>14813.96</v>
      </c>
      <c r="J31">
        <v>16834.84</v>
      </c>
      <c r="K31">
        <v>23859.77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35">
      <c r="A42" s="6" t="s">
        <v>6</v>
      </c>
      <c r="B42">
        <v>78008.17</v>
      </c>
      <c r="C42">
        <v>79433.61</v>
      </c>
      <c r="D42">
        <v>81546.2</v>
      </c>
      <c r="E42">
        <v>83001.72</v>
      </c>
      <c r="F42">
        <v>85040.17</v>
      </c>
      <c r="G42">
        <v>86779.34</v>
      </c>
      <c r="H42">
        <v>87371.87</v>
      </c>
      <c r="I42">
        <v>86993.84</v>
      </c>
      <c r="J42">
        <v>87066.94</v>
      </c>
      <c r="K42">
        <v>87182.5</v>
      </c>
    </row>
    <row r="43" spans="1:11" s="6" customFormat="1" x14ac:dyDescent="0.35">
      <c r="A43" s="6" t="s">
        <v>7</v>
      </c>
      <c r="B43">
        <v>50530.03</v>
      </c>
      <c r="C43">
        <v>62938.45</v>
      </c>
      <c r="D43">
        <v>49689.62</v>
      </c>
      <c r="E43">
        <v>52074.11</v>
      </c>
      <c r="F43">
        <v>41306.79</v>
      </c>
      <c r="G43">
        <v>47709.16</v>
      </c>
      <c r="H43">
        <v>64496.63</v>
      </c>
      <c r="I43">
        <v>45160.88</v>
      </c>
      <c r="J43">
        <v>54144.75</v>
      </c>
      <c r="K43">
        <v>44027.87</v>
      </c>
    </row>
    <row r="44" spans="1:11" s="6" customFormat="1" x14ac:dyDescent="0.35">
      <c r="A44" s="6" t="s">
        <v>9</v>
      </c>
      <c r="B44">
        <v>37007.339999999997</v>
      </c>
      <c r="C44">
        <v>44957.74</v>
      </c>
      <c r="D44">
        <v>35450.29</v>
      </c>
      <c r="E44">
        <v>38455.019999999997</v>
      </c>
      <c r="F44">
        <v>27153.77</v>
      </c>
      <c r="G44">
        <v>33489.42</v>
      </c>
      <c r="H44">
        <v>45683.1</v>
      </c>
      <c r="I44">
        <v>31566.79</v>
      </c>
      <c r="J44">
        <v>39860.33</v>
      </c>
      <c r="K44">
        <v>29737.439999999999</v>
      </c>
    </row>
    <row r="45" spans="1:11" s="6" customFormat="1" x14ac:dyDescent="0.35">
      <c r="A45" s="6" t="s">
        <v>10</v>
      </c>
      <c r="B45"/>
      <c r="C45"/>
      <c r="D45"/>
      <c r="E45"/>
      <c r="F45"/>
      <c r="G45"/>
      <c r="H45"/>
      <c r="I45"/>
      <c r="J45"/>
      <c r="K45"/>
    </row>
    <row r="46" spans="1:11" s="6" customFormat="1" x14ac:dyDescent="0.35">
      <c r="A46" s="6" t="s">
        <v>11</v>
      </c>
      <c r="B46">
        <v>43242.37</v>
      </c>
      <c r="C46">
        <v>43691.51</v>
      </c>
      <c r="D46">
        <v>44579.5</v>
      </c>
      <c r="E46">
        <v>45414.21</v>
      </c>
      <c r="F46">
        <v>46914.28</v>
      </c>
      <c r="G46">
        <v>46986.21</v>
      </c>
      <c r="H46">
        <v>47708.51</v>
      </c>
      <c r="I46">
        <v>46740.86</v>
      </c>
      <c r="J46">
        <v>45821.42</v>
      </c>
      <c r="K46">
        <v>45220.44</v>
      </c>
    </row>
    <row r="47" spans="1:11" s="6" customFormat="1" x14ac:dyDescent="0.35">
      <c r="A47" s="6" t="s">
        <v>12</v>
      </c>
      <c r="B47">
        <v>21243.11</v>
      </c>
      <c r="C47">
        <v>17761.39</v>
      </c>
      <c r="D47">
        <v>22727.37</v>
      </c>
      <c r="E47">
        <v>23968.42</v>
      </c>
      <c r="F47">
        <v>23972.87</v>
      </c>
      <c r="G47">
        <v>25573.39</v>
      </c>
      <c r="H47">
        <v>20849.830000000002</v>
      </c>
      <c r="I47">
        <v>26658.89</v>
      </c>
      <c r="J47">
        <v>26961.1</v>
      </c>
      <c r="K47">
        <v>27671.63</v>
      </c>
    </row>
    <row r="48" spans="1:11" s="6" customFormat="1" x14ac:dyDescent="0.35">
      <c r="A48" s="6" t="s">
        <v>13</v>
      </c>
      <c r="B48">
        <v>3525.11</v>
      </c>
      <c r="C48">
        <v>-251.48</v>
      </c>
      <c r="D48">
        <v>5539.32</v>
      </c>
      <c r="E48">
        <v>5340.98</v>
      </c>
      <c r="F48">
        <v>5632.76</v>
      </c>
      <c r="G48">
        <v>6288.82</v>
      </c>
      <c r="H48">
        <v>3759.4</v>
      </c>
      <c r="I48">
        <v>6295.12</v>
      </c>
      <c r="J48">
        <v>6270.06</v>
      </c>
      <c r="K48">
        <v>6597.41</v>
      </c>
    </row>
    <row r="49" spans="1:11" s="6" customFormat="1" x14ac:dyDescent="0.35">
      <c r="A49" s="6" t="s">
        <v>14</v>
      </c>
      <c r="B49">
        <v>17257.87</v>
      </c>
      <c r="C49">
        <v>17622.38</v>
      </c>
      <c r="D49">
        <v>16474.849999999999</v>
      </c>
      <c r="E49">
        <v>17825.91</v>
      </c>
      <c r="F49">
        <v>17656.61</v>
      </c>
      <c r="G49">
        <v>18834.88</v>
      </c>
      <c r="H49">
        <v>16257.91</v>
      </c>
      <c r="I49">
        <v>19610.669999999998</v>
      </c>
      <c r="J49">
        <v>19806.63</v>
      </c>
      <c r="K49">
        <v>20350.759999999998</v>
      </c>
    </row>
    <row r="50" spans="1:11" x14ac:dyDescent="0.35">
      <c r="A50" s="6" t="s">
        <v>8</v>
      </c>
      <c r="B50">
        <v>27478.14</v>
      </c>
      <c r="C50">
        <v>16495.16</v>
      </c>
      <c r="D50">
        <v>31856.58</v>
      </c>
      <c r="E50">
        <v>30927.61</v>
      </c>
      <c r="F50">
        <v>43733.38</v>
      </c>
      <c r="G50">
        <v>39070.18</v>
      </c>
      <c r="H50">
        <v>22875.24</v>
      </c>
      <c r="I50">
        <v>41832.959999999999</v>
      </c>
      <c r="J50">
        <v>32922.19</v>
      </c>
      <c r="K50">
        <v>43154.63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5">
      <c r="A57" s="6" t="s">
        <v>24</v>
      </c>
      <c r="B57">
        <v>512.51</v>
      </c>
      <c r="C57">
        <v>519.02</v>
      </c>
      <c r="D57">
        <v>544.66</v>
      </c>
      <c r="E57">
        <v>548.33000000000004</v>
      </c>
      <c r="F57">
        <v>551.28</v>
      </c>
      <c r="G57">
        <v>554.54999999999995</v>
      </c>
      <c r="H57">
        <v>557.97</v>
      </c>
      <c r="I57">
        <v>759.69</v>
      </c>
      <c r="J57">
        <v>765.22</v>
      </c>
      <c r="K57">
        <v>1539.34</v>
      </c>
    </row>
    <row r="58" spans="1:11" x14ac:dyDescent="0.35">
      <c r="A58" s="6" t="s">
        <v>25</v>
      </c>
      <c r="B58">
        <v>91281.44</v>
      </c>
      <c r="C58">
        <v>109080.11</v>
      </c>
      <c r="D58">
        <v>153128</v>
      </c>
      <c r="E58">
        <v>175810.38</v>
      </c>
      <c r="F58">
        <v>209258.9</v>
      </c>
      <c r="G58">
        <v>246771.62</v>
      </c>
      <c r="H58">
        <v>288879.53000000003</v>
      </c>
      <c r="I58">
        <v>455635.56</v>
      </c>
      <c r="J58">
        <v>521024.17</v>
      </c>
      <c r="K58">
        <v>579975.02</v>
      </c>
    </row>
    <row r="59" spans="1:11" x14ac:dyDescent="0.35">
      <c r="A59" s="6" t="s">
        <v>71</v>
      </c>
      <c r="B59">
        <v>741549.89</v>
      </c>
      <c r="C59">
        <v>944817.22</v>
      </c>
      <c r="D59">
        <v>1080235.46</v>
      </c>
      <c r="E59">
        <v>1333041.45</v>
      </c>
      <c r="F59">
        <v>1511417.62</v>
      </c>
      <c r="G59">
        <v>1784969.53</v>
      </c>
      <c r="H59">
        <v>2139211.91</v>
      </c>
      <c r="I59">
        <v>3107502.74</v>
      </c>
      <c r="J59">
        <v>3345503.8</v>
      </c>
      <c r="K59">
        <v>3688122.84</v>
      </c>
    </row>
    <row r="60" spans="1:11" x14ac:dyDescent="0.35">
      <c r="A60" s="6" t="s">
        <v>72</v>
      </c>
      <c r="B60">
        <v>59000.32</v>
      </c>
      <c r="C60">
        <v>48769.82</v>
      </c>
      <c r="D60">
        <v>58897.59</v>
      </c>
      <c r="E60">
        <v>71430.27</v>
      </c>
      <c r="F60">
        <v>78278.83</v>
      </c>
      <c r="G60">
        <v>90638.6</v>
      </c>
      <c r="H60">
        <v>101783.03</v>
      </c>
      <c r="I60">
        <v>466296.27</v>
      </c>
      <c r="J60">
        <v>524816.64000000001</v>
      </c>
      <c r="K60">
        <v>638403.64</v>
      </c>
    </row>
    <row r="61" spans="1:11" s="1" customFormat="1" x14ac:dyDescent="0.35">
      <c r="A61" s="1" t="s">
        <v>26</v>
      </c>
      <c r="B61">
        <v>892344.16</v>
      </c>
      <c r="C61">
        <v>1103186.17</v>
      </c>
      <c r="D61">
        <v>1292805.71</v>
      </c>
      <c r="E61">
        <v>1580830.43</v>
      </c>
      <c r="F61">
        <v>1799506.63</v>
      </c>
      <c r="G61">
        <v>2122934.2999999998</v>
      </c>
      <c r="H61">
        <v>2530432.44</v>
      </c>
      <c r="I61">
        <v>4030194.26</v>
      </c>
      <c r="J61">
        <v>4392109.83</v>
      </c>
      <c r="K61">
        <v>4908040.84</v>
      </c>
    </row>
    <row r="62" spans="1:11" x14ac:dyDescent="0.35">
      <c r="A62" s="6" t="s">
        <v>27</v>
      </c>
      <c r="B62">
        <v>3999.7</v>
      </c>
      <c r="C62">
        <v>4008.13</v>
      </c>
      <c r="D62">
        <v>4368.63</v>
      </c>
      <c r="E62">
        <v>4775.6499999999996</v>
      </c>
      <c r="F62">
        <v>5248.35</v>
      </c>
      <c r="G62">
        <v>6432.07</v>
      </c>
      <c r="H62">
        <v>8431.35</v>
      </c>
      <c r="I62">
        <v>12603.76</v>
      </c>
      <c r="J62">
        <v>15257.94</v>
      </c>
      <c r="K62">
        <v>16491.59</v>
      </c>
    </row>
    <row r="63" spans="1:11" x14ac:dyDescent="0.35">
      <c r="A63" s="6" t="s">
        <v>28</v>
      </c>
      <c r="B63"/>
      <c r="C63"/>
      <c r="D63"/>
      <c r="E63"/>
      <c r="F63"/>
      <c r="G63"/>
      <c r="H63"/>
      <c r="I63"/>
      <c r="J63"/>
      <c r="K63"/>
    </row>
    <row r="64" spans="1:11" x14ac:dyDescent="0.35">
      <c r="A64" s="6" t="s">
        <v>29</v>
      </c>
      <c r="B64">
        <v>210777.11</v>
      </c>
      <c r="C64">
        <v>238460.92</v>
      </c>
      <c r="D64">
        <v>289445.87</v>
      </c>
      <c r="E64">
        <v>389304.95</v>
      </c>
      <c r="F64">
        <v>438823.11</v>
      </c>
      <c r="G64">
        <v>449263.86</v>
      </c>
      <c r="H64">
        <v>511581.71</v>
      </c>
      <c r="I64">
        <v>1005681.63</v>
      </c>
      <c r="J64">
        <v>1186472.8899999999</v>
      </c>
      <c r="K64">
        <v>1280216.29</v>
      </c>
    </row>
    <row r="65" spans="1:11" x14ac:dyDescent="0.35">
      <c r="A65" s="6" t="s">
        <v>73</v>
      </c>
      <c r="B65">
        <v>677567.35</v>
      </c>
      <c r="C65">
        <v>860717.12</v>
      </c>
      <c r="D65">
        <v>998991.21</v>
      </c>
      <c r="E65">
        <v>1186749.83</v>
      </c>
      <c r="F65">
        <v>1355435.17</v>
      </c>
      <c r="G65">
        <v>1667238.37</v>
      </c>
      <c r="H65">
        <v>2010419.38</v>
      </c>
      <c r="I65">
        <v>3011908.87</v>
      </c>
      <c r="J65">
        <v>3190379</v>
      </c>
      <c r="K65">
        <v>3611332.96</v>
      </c>
    </row>
    <row r="66" spans="1:11" s="1" customFormat="1" x14ac:dyDescent="0.35">
      <c r="A66" s="1" t="s">
        <v>26</v>
      </c>
      <c r="B66">
        <v>892344.16</v>
      </c>
      <c r="C66">
        <v>1103186.17</v>
      </c>
      <c r="D66">
        <v>1292805.71</v>
      </c>
      <c r="E66">
        <v>1580830.43</v>
      </c>
      <c r="F66">
        <v>1799506.63</v>
      </c>
      <c r="G66">
        <v>2122934.2999999998</v>
      </c>
      <c r="H66">
        <v>2530432.44</v>
      </c>
      <c r="I66">
        <v>4030194.26</v>
      </c>
      <c r="J66">
        <v>4392109.83</v>
      </c>
      <c r="K66">
        <v>4908040.84</v>
      </c>
    </row>
    <row r="67" spans="1:11" s="6" customFormat="1" x14ac:dyDescent="0.35">
      <c r="A67" s="6" t="s">
        <v>78</v>
      </c>
      <c r="B67"/>
      <c r="C67"/>
      <c r="D67"/>
      <c r="E67"/>
      <c r="F67"/>
      <c r="G67"/>
      <c r="H67"/>
      <c r="I67"/>
      <c r="J67"/>
      <c r="K67"/>
    </row>
    <row r="68" spans="1:11" x14ac:dyDescent="0.35">
      <c r="A68" s="6" t="s">
        <v>45</v>
      </c>
      <c r="B68"/>
      <c r="C68"/>
      <c r="D68"/>
      <c r="E68"/>
      <c r="F68"/>
      <c r="G68"/>
      <c r="H68"/>
      <c r="I68"/>
      <c r="J68"/>
      <c r="K68"/>
    </row>
    <row r="69" spans="1:11" x14ac:dyDescent="0.35">
      <c r="A69" s="4" t="s">
        <v>87</v>
      </c>
      <c r="B69">
        <v>33633.279999999999</v>
      </c>
      <c r="C69">
        <v>97138.14</v>
      </c>
      <c r="D69">
        <v>39372.129999999997</v>
      </c>
      <c r="E69">
        <v>62997.42</v>
      </c>
      <c r="F69">
        <v>86648.17</v>
      </c>
      <c r="G69">
        <v>118791.2</v>
      </c>
      <c r="H69">
        <v>103917.93</v>
      </c>
      <c r="I69">
        <v>165658.59</v>
      </c>
      <c r="J69">
        <v>132227.37</v>
      </c>
      <c r="K69">
        <v>200707.11</v>
      </c>
    </row>
    <row r="70" spans="1:11" x14ac:dyDescent="0.35">
      <c r="A70" s="4" t="s">
        <v>74</v>
      </c>
      <c r="B70">
        <v>2562545717</v>
      </c>
      <c r="C70">
        <v>2595090267</v>
      </c>
      <c r="D70">
        <v>2723306610</v>
      </c>
      <c r="E70">
        <v>5483286460</v>
      </c>
      <c r="F70">
        <v>5512776482</v>
      </c>
      <c r="G70">
        <v>5545540976</v>
      </c>
      <c r="H70">
        <v>5579742786</v>
      </c>
      <c r="I70">
        <v>7596910662</v>
      </c>
      <c r="J70">
        <v>7652221674</v>
      </c>
      <c r="K70"/>
    </row>
    <row r="71" spans="1:11" x14ac:dyDescent="0.35">
      <c r="A71" s="4" t="s">
        <v>75</v>
      </c>
      <c r="F71"/>
      <c r="I71"/>
    </row>
    <row r="72" spans="1:11" x14ac:dyDescent="0.35">
      <c r="A72" s="4" t="s">
        <v>88</v>
      </c>
      <c r="B72">
        <v>2</v>
      </c>
      <c r="C72">
        <v>2</v>
      </c>
      <c r="D72">
        <v>2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35">
      <c r="A82" s="6" t="s">
        <v>32</v>
      </c>
      <c r="B82">
        <v>17281.59</v>
      </c>
      <c r="C82">
        <v>17214.38</v>
      </c>
      <c r="D82">
        <v>-62871.54</v>
      </c>
      <c r="E82">
        <v>-16869.09</v>
      </c>
      <c r="F82">
        <v>42476.45</v>
      </c>
      <c r="G82">
        <v>-11959.57</v>
      </c>
      <c r="H82">
        <v>20813.7</v>
      </c>
      <c r="I82">
        <v>19069.34</v>
      </c>
      <c r="J82">
        <v>127241.84</v>
      </c>
      <c r="K82">
        <v>113506.38</v>
      </c>
    </row>
    <row r="83" spans="1:11" s="6" customFormat="1" x14ac:dyDescent="0.35">
      <c r="A83" s="6" t="s">
        <v>33</v>
      </c>
      <c r="B83">
        <v>-1146.3800000000001</v>
      </c>
      <c r="C83">
        <v>-841.6</v>
      </c>
      <c r="D83">
        <v>-1503.06</v>
      </c>
      <c r="E83">
        <v>-1402.94</v>
      </c>
      <c r="F83">
        <v>-1822.7</v>
      </c>
      <c r="G83">
        <v>-2051.23</v>
      </c>
      <c r="H83">
        <v>-2992.18</v>
      </c>
      <c r="I83">
        <v>16600.419999999998</v>
      </c>
      <c r="J83">
        <v>-3650.91</v>
      </c>
      <c r="K83">
        <v>6362.72</v>
      </c>
    </row>
    <row r="84" spans="1:11" s="6" customFormat="1" x14ac:dyDescent="0.35">
      <c r="A84" s="6" t="s">
        <v>34</v>
      </c>
      <c r="B84">
        <v>-5892.97</v>
      </c>
      <c r="C84">
        <v>57377.66</v>
      </c>
      <c r="D84">
        <v>23130.69</v>
      </c>
      <c r="E84">
        <v>24394.5</v>
      </c>
      <c r="F84">
        <v>-7321.35</v>
      </c>
      <c r="G84">
        <v>48124.02</v>
      </c>
      <c r="H84">
        <v>23940.560000000001</v>
      </c>
      <c r="I84">
        <v>-3983.06</v>
      </c>
      <c r="J84">
        <v>-102477.54</v>
      </c>
      <c r="K84">
        <v>-59004.85</v>
      </c>
    </row>
    <row r="85" spans="1:11" s="1" customFormat="1" x14ac:dyDescent="0.35">
      <c r="A85" s="6" t="s">
        <v>35</v>
      </c>
      <c r="B85">
        <v>10242.24</v>
      </c>
      <c r="C85">
        <v>73750.44</v>
      </c>
      <c r="D85">
        <v>-41243.910000000003</v>
      </c>
      <c r="E85">
        <v>6122.47</v>
      </c>
      <c r="F85">
        <v>33332.400000000001</v>
      </c>
      <c r="G85">
        <v>34113.22</v>
      </c>
      <c r="H85">
        <v>41762.080000000002</v>
      </c>
      <c r="I85">
        <v>31686.7</v>
      </c>
      <c r="J85">
        <v>21113.39</v>
      </c>
      <c r="K85">
        <v>60864.25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77</v>
      </c>
      <c r="B90">
        <v>360.64</v>
      </c>
      <c r="C90">
        <v>471.53</v>
      </c>
      <c r="D90">
        <v>579.73</v>
      </c>
      <c r="E90">
        <v>430.95</v>
      </c>
      <c r="F90">
        <v>746.83</v>
      </c>
      <c r="G90">
        <v>735.18</v>
      </c>
      <c r="H90">
        <v>804.78</v>
      </c>
      <c r="I90">
        <v>723.95</v>
      </c>
      <c r="J90">
        <v>914.1</v>
      </c>
      <c r="K90">
        <v>731.55</v>
      </c>
    </row>
    <row r="92" spans="1:11" s="1" customFormat="1" x14ac:dyDescent="0.35">
      <c r="A92" s="1" t="s">
        <v>76</v>
      </c>
    </row>
    <row r="93" spans="1:11" x14ac:dyDescent="0.35">
      <c r="A93" s="4" t="s">
        <v>89</v>
      </c>
      <c r="B93" s="24">
        <v>1025.02</v>
      </c>
      <c r="C93" s="24">
        <v>1038.04</v>
      </c>
      <c r="D93" s="24">
        <v>1089.32</v>
      </c>
      <c r="E93" s="24">
        <v>1096.6600000000001</v>
      </c>
      <c r="F93" s="24">
        <v>1102.56</v>
      </c>
      <c r="G93" s="24">
        <v>1109.1099999999999</v>
      </c>
      <c r="H93" s="24">
        <v>1115.95</v>
      </c>
      <c r="I93" s="24">
        <v>1519.38</v>
      </c>
      <c r="J93" s="24">
        <v>1530.44</v>
      </c>
      <c r="K93" s="24">
        <v>1539.34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0330-7986-4928-8EBE-518EAC4DD212}">
  <dimension ref="A2:N77"/>
  <sheetViews>
    <sheetView showGridLines="0" zoomScaleNormal="100" workbookViewId="0">
      <pane ySplit="3" topLeftCell="A32" activePane="bottomLeft" state="frozen"/>
      <selection pane="bottomLeft" activeCell="L33" sqref="L33"/>
    </sheetView>
  </sheetViews>
  <sheetFormatPr defaultRowHeight="14.5" x14ac:dyDescent="0.35"/>
  <cols>
    <col min="1" max="1" width="1.81640625" customWidth="1"/>
    <col min="2" max="2" width="25.453125" customWidth="1"/>
    <col min="3" max="3" width="11.1796875" customWidth="1"/>
    <col min="4" max="10" width="12.453125" bestFit="1" customWidth="1"/>
    <col min="11" max="11" width="12.90625" bestFit="1" customWidth="1"/>
    <col min="12" max="12" width="12.453125" bestFit="1" customWidth="1"/>
    <col min="13" max="13" width="11.7265625" bestFit="1" customWidth="1"/>
  </cols>
  <sheetData>
    <row r="2" spans="1:13" x14ac:dyDescent="0.35">
      <c r="B2" s="149" t="str">
        <f>"Historical Financial Statements - "&amp;'Data Sheet'!B1</f>
        <v>Historical Financial Statements - HDFC BANK LTD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</row>
    <row r="3" spans="1:13" x14ac:dyDescent="0.35">
      <c r="B3" s="59" t="s">
        <v>93</v>
      </c>
      <c r="C3" s="61">
        <f>'Data Sheet'!B16</f>
        <v>42825</v>
      </c>
      <c r="D3" s="61">
        <f>'Data Sheet'!C16</f>
        <v>43190</v>
      </c>
      <c r="E3" s="61">
        <f>'Data Sheet'!D16</f>
        <v>43555</v>
      </c>
      <c r="F3" s="61">
        <f>'Data Sheet'!E16</f>
        <v>43921</v>
      </c>
      <c r="G3" s="61">
        <f>'Data Sheet'!F16</f>
        <v>44286</v>
      </c>
      <c r="H3" s="61">
        <f>'Data Sheet'!G16</f>
        <v>44651</v>
      </c>
      <c r="I3" s="61">
        <f>'Data Sheet'!H16</f>
        <v>45016</v>
      </c>
      <c r="J3" s="61">
        <f>'Data Sheet'!I16</f>
        <v>45382</v>
      </c>
      <c r="K3" s="61">
        <f>'Data Sheet'!J16</f>
        <v>45747</v>
      </c>
      <c r="L3" s="61">
        <f>'Data Sheet'!K16</f>
        <v>46112</v>
      </c>
      <c r="M3" s="77" t="s">
        <v>94</v>
      </c>
    </row>
    <row r="4" spans="1:13" x14ac:dyDescent="0.35">
      <c r="B4" s="30"/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</row>
    <row r="5" spans="1:13" x14ac:dyDescent="0.35">
      <c r="A5" t="s">
        <v>95</v>
      </c>
      <c r="B5" s="33" t="s">
        <v>96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x14ac:dyDescent="0.35">
      <c r="B6" t="s">
        <v>6</v>
      </c>
      <c r="C6" s="35">
        <f>IFERROR('Data Sheet'!B17,0)</f>
        <v>73271.350000000006</v>
      </c>
      <c r="D6" s="35">
        <f>IFERROR('Data Sheet'!C17,0)</f>
        <v>85287.84</v>
      </c>
      <c r="E6" s="35">
        <f>IFERROR('Data Sheet'!D17,0)</f>
        <v>105160.74</v>
      </c>
      <c r="F6" s="35">
        <f>IFERROR('Data Sheet'!E17,0)</f>
        <v>122189.29</v>
      </c>
      <c r="G6" s="35">
        <f>IFERROR('Data Sheet'!F17,0)</f>
        <v>128552.4</v>
      </c>
      <c r="H6" s="35">
        <f>IFERROR('Data Sheet'!G17,0)</f>
        <v>135936.41</v>
      </c>
      <c r="I6" s="35">
        <f>IFERROR('Data Sheet'!H17,0)</f>
        <v>170754.05</v>
      </c>
      <c r="J6" s="35">
        <f>IFERROR('Data Sheet'!I17,0)</f>
        <v>283649.02</v>
      </c>
      <c r="K6" s="35">
        <f>IFERROR('Data Sheet'!J17,0)</f>
        <v>336367.43</v>
      </c>
      <c r="L6" s="35">
        <f>IFERROR('Data Sheet'!K17,0)</f>
        <v>348615.15</v>
      </c>
      <c r="M6" s="35">
        <f>IFERROR(SUM('Data Sheet'!H42:K42), 0)</f>
        <v>348615.15</v>
      </c>
    </row>
    <row r="7" spans="1:13" x14ac:dyDescent="0.35">
      <c r="B7" s="27" t="s">
        <v>22</v>
      </c>
      <c r="C7" s="28" t="s">
        <v>97</v>
      </c>
      <c r="D7" s="29">
        <f>D6/C6-1</f>
        <v>0.16399984441394877</v>
      </c>
      <c r="E7" s="29">
        <f t="shared" ref="E7:L7" si="0">E6/D6-1</f>
        <v>0.23300977020874258</v>
      </c>
      <c r="F7" s="29">
        <f t="shared" si="0"/>
        <v>0.16192877684200391</v>
      </c>
      <c r="G7" s="29">
        <f t="shared" si="0"/>
        <v>5.2075840689474573E-2</v>
      </c>
      <c r="H7" s="29">
        <f t="shared" si="0"/>
        <v>5.7439689963003415E-2</v>
      </c>
      <c r="I7" s="29">
        <f t="shared" si="0"/>
        <v>0.25613181928226569</v>
      </c>
      <c r="J7" s="29">
        <f t="shared" si="0"/>
        <v>0.66115544550773486</v>
      </c>
      <c r="K7" s="29">
        <f t="shared" si="0"/>
        <v>0.18585789578966283</v>
      </c>
      <c r="L7" s="29">
        <f t="shared" si="0"/>
        <v>3.6411729875273746E-2</v>
      </c>
      <c r="M7" s="29">
        <f>M6/L6-1</f>
        <v>0</v>
      </c>
    </row>
    <row r="8" spans="1:13" x14ac:dyDescent="0.35">
      <c r="B8" s="27"/>
    </row>
    <row r="9" spans="1:13" x14ac:dyDescent="0.35">
      <c r="B9" t="s">
        <v>98</v>
      </c>
      <c r="C9" s="35">
        <f>IFERROR(SUM('Data Sheet'!B18,'Data Sheet'!B20:B21)-1*('Data Sheet'!B19), 0)</f>
        <v>1271.8</v>
      </c>
      <c r="D9" s="35">
        <f>IFERROR(SUM('Data Sheet'!C18,'Data Sheet'!C20:C21)-1*('Data Sheet'!C19), 0)</f>
        <v>1314.97</v>
      </c>
      <c r="E9" s="35">
        <f>IFERROR(SUM('Data Sheet'!D18,'Data Sheet'!D20:D21)-1*('Data Sheet'!D19), 0)</f>
        <v>1283.53</v>
      </c>
      <c r="F9" s="35">
        <f>IFERROR(SUM('Data Sheet'!E18,'Data Sheet'!E20:E21)-1*('Data Sheet'!E19), 0)</f>
        <v>1293.44</v>
      </c>
      <c r="G9" s="35">
        <f>IFERROR(SUM('Data Sheet'!F18,'Data Sheet'!F20:F21)-1*('Data Sheet'!F19), 0)</f>
        <v>1649.11</v>
      </c>
      <c r="H9" s="35">
        <f>IFERROR(SUM('Data Sheet'!G18,'Data Sheet'!G20:G21)-1*('Data Sheet'!G19), 0)</f>
        <v>1772.27</v>
      </c>
      <c r="I9" s="35">
        <f>IFERROR(SUM('Data Sheet'!H18,'Data Sheet'!H20:H21)-1*('Data Sheet'!H19), 0)</f>
        <v>2176.5</v>
      </c>
      <c r="J9" s="35">
        <f>IFERROR(SUM('Data Sheet'!I18,'Data Sheet'!I20:I21)-1*('Data Sheet'!I19), 0)</f>
        <v>3255.75</v>
      </c>
      <c r="K9" s="35">
        <f>IFERROR(SUM('Data Sheet'!J18,'Data Sheet'!J20:J21)-1*('Data Sheet'!J19), 0)</f>
        <v>3943.56</v>
      </c>
      <c r="L9" s="35">
        <f>IFERROR(SUM('Data Sheet'!K18,'Data Sheet'!K20:K21)-1*('Data Sheet'!K19), 0)</f>
        <v>0</v>
      </c>
      <c r="M9" s="35">
        <f>IFERROR(SUM('Data Sheet'!H43:K43), 0)</f>
        <v>207830.13</v>
      </c>
    </row>
    <row r="10" spans="1:13" x14ac:dyDescent="0.35">
      <c r="B10" s="27" t="s">
        <v>99</v>
      </c>
      <c r="C10" s="29">
        <f>C9/C6</f>
        <v>1.7357398219085631E-2</v>
      </c>
      <c r="D10" s="29">
        <f t="shared" ref="D10:L10" si="1">D9/D6</f>
        <v>1.5418024421769858E-2</v>
      </c>
      <c r="E10" s="29">
        <f t="shared" si="1"/>
        <v>1.2205410498252484E-2</v>
      </c>
      <c r="F10" s="29">
        <f t="shared" si="1"/>
        <v>1.0585543135572684E-2</v>
      </c>
      <c r="G10" s="29">
        <f t="shared" si="1"/>
        <v>1.282830970094685E-2</v>
      </c>
      <c r="H10" s="29">
        <f t="shared" si="1"/>
        <v>1.3037493045461477E-2</v>
      </c>
      <c r="I10" s="29">
        <f t="shared" si="1"/>
        <v>1.2746403379597732E-2</v>
      </c>
      <c r="J10" s="29">
        <f t="shared" si="1"/>
        <v>1.1478093596092804E-2</v>
      </c>
      <c r="K10" s="29">
        <f t="shared" si="1"/>
        <v>1.1723965069983144E-2</v>
      </c>
      <c r="L10" s="29">
        <f t="shared" si="1"/>
        <v>0</v>
      </c>
      <c r="M10" s="29">
        <f>M9/M6</f>
        <v>0.59615920306389436</v>
      </c>
    </row>
    <row r="12" spans="1:13" x14ac:dyDescent="0.35">
      <c r="B12" s="39" t="s">
        <v>100</v>
      </c>
      <c r="C12" s="40">
        <f>C6-C9</f>
        <v>71999.55</v>
      </c>
      <c r="D12" s="40">
        <f t="shared" ref="D12:L12" si="2">D6-D9</f>
        <v>83972.87</v>
      </c>
      <c r="E12" s="40">
        <f t="shared" si="2"/>
        <v>103877.21</v>
      </c>
      <c r="F12" s="40">
        <f t="shared" si="2"/>
        <v>120895.84999999999</v>
      </c>
      <c r="G12" s="40">
        <f t="shared" si="2"/>
        <v>126903.29</v>
      </c>
      <c r="H12" s="40">
        <f t="shared" si="2"/>
        <v>134164.14000000001</v>
      </c>
      <c r="I12" s="40">
        <f t="shared" si="2"/>
        <v>168577.55</v>
      </c>
      <c r="J12" s="40">
        <f t="shared" si="2"/>
        <v>280393.27</v>
      </c>
      <c r="K12" s="40">
        <f t="shared" si="2"/>
        <v>332423.87</v>
      </c>
      <c r="L12" s="40">
        <f t="shared" si="2"/>
        <v>348615.15</v>
      </c>
      <c r="M12" s="40">
        <f>M6-M9</f>
        <v>140785.02000000002</v>
      </c>
    </row>
    <row r="13" spans="1:13" x14ac:dyDescent="0.35">
      <c r="B13" s="27" t="s">
        <v>107</v>
      </c>
      <c r="C13" s="29">
        <f>C12/C6</f>
        <v>0.98264260178091434</v>
      </c>
      <c r="D13" s="29">
        <f t="shared" ref="D13:M13" si="3">D12/D6</f>
        <v>0.98458197557823013</v>
      </c>
      <c r="E13" s="29">
        <f t="shared" si="3"/>
        <v>0.98779458950174748</v>
      </c>
      <c r="F13" s="29">
        <f t="shared" si="3"/>
        <v>0.98941445686442731</v>
      </c>
      <c r="G13" s="29">
        <f t="shared" si="3"/>
        <v>0.98717169029905316</v>
      </c>
      <c r="H13" s="29">
        <f t="shared" si="3"/>
        <v>0.98696250695453858</v>
      </c>
      <c r="I13" s="29">
        <f t="shared" si="3"/>
        <v>0.98725359662040224</v>
      </c>
      <c r="J13" s="29">
        <f t="shared" si="3"/>
        <v>0.98852190640390725</v>
      </c>
      <c r="K13" s="29">
        <f t="shared" si="3"/>
        <v>0.98827603493001681</v>
      </c>
      <c r="L13" s="29">
        <f t="shared" si="3"/>
        <v>1</v>
      </c>
      <c r="M13" s="29">
        <f t="shared" si="3"/>
        <v>0.40384079693610564</v>
      </c>
    </row>
    <row r="15" spans="1:13" x14ac:dyDescent="0.35">
      <c r="B15" t="s">
        <v>101</v>
      </c>
      <c r="C15" s="35">
        <f>IFERROR(SUM('Data Sheet'!B23:B24), 0)</f>
        <v>14075.67</v>
      </c>
      <c r="D15" s="35">
        <f>IFERROR(SUM('Data Sheet'!C23:C24), 0)</f>
        <v>19020.14</v>
      </c>
      <c r="E15" s="35">
        <f>IFERROR(SUM('Data Sheet'!D23:D24), 0)</f>
        <v>23117.989999999998</v>
      </c>
      <c r="F15" s="35">
        <f>IFERROR(SUM('Data Sheet'!E23:E24), 0)</f>
        <v>31241.67</v>
      </c>
      <c r="G15" s="35">
        <f>IFERROR(SUM('Data Sheet'!F23:F24), 0)</f>
        <v>37125.07</v>
      </c>
      <c r="H15" s="35">
        <f>IFERROR(SUM('Data Sheet'!G23:G24), 0)</f>
        <v>38879.879999999997</v>
      </c>
      <c r="I15" s="35">
        <f>IFERROR(SUM('Data Sheet'!H23:H24), 0)</f>
        <v>40834.44</v>
      </c>
      <c r="J15" s="35">
        <f>IFERROR(SUM('Data Sheet'!I23:I24), 0)</f>
        <v>139889.72</v>
      </c>
      <c r="K15" s="35">
        <f>IFERROR(SUM('Data Sheet'!J23:J24), 0)</f>
        <v>148863</v>
      </c>
      <c r="L15" s="35">
        <f>IFERROR(SUM('Data Sheet'!K23:K24), 0)</f>
        <v>170225.32</v>
      </c>
      <c r="M15" s="35" t="s">
        <v>97</v>
      </c>
    </row>
    <row r="16" spans="1:13" x14ac:dyDescent="0.35">
      <c r="B16" s="27" t="s">
        <v>106</v>
      </c>
      <c r="C16" s="29">
        <f t="shared" ref="C16:L16" si="4">C15/C6</f>
        <v>0.19210332551536172</v>
      </c>
      <c r="D16" s="29">
        <f t="shared" si="4"/>
        <v>0.22301115844884806</v>
      </c>
      <c r="E16" s="29">
        <f t="shared" si="4"/>
        <v>0.21983479766308223</v>
      </c>
      <c r="F16" s="29">
        <f t="shared" si="4"/>
        <v>0.25568255613892182</v>
      </c>
      <c r="G16" s="29">
        <f t="shared" si="4"/>
        <v>0.28879328585075037</v>
      </c>
      <c r="H16" s="29">
        <f t="shared" si="4"/>
        <v>0.28601520372650707</v>
      </c>
      <c r="I16" s="29">
        <f t="shared" si="4"/>
        <v>0.23914185344359332</v>
      </c>
      <c r="J16" s="29">
        <f t="shared" si="4"/>
        <v>0.49317892936841451</v>
      </c>
      <c r="K16" s="29">
        <f t="shared" si="4"/>
        <v>0.44256068430882267</v>
      </c>
      <c r="L16" s="29">
        <f t="shared" si="4"/>
        <v>0.48829008148383685</v>
      </c>
      <c r="M16" s="29">
        <v>0</v>
      </c>
    </row>
    <row r="18" spans="2:14" x14ac:dyDescent="0.35">
      <c r="B18" s="39" t="s">
        <v>102</v>
      </c>
      <c r="C18" s="40">
        <f t="shared" ref="C18:L18" si="5">C12-C15</f>
        <v>57923.880000000005</v>
      </c>
      <c r="D18" s="40">
        <f t="shared" si="5"/>
        <v>64952.729999999996</v>
      </c>
      <c r="E18" s="40">
        <f t="shared" si="5"/>
        <v>80759.22</v>
      </c>
      <c r="F18" s="40">
        <f t="shared" si="5"/>
        <v>89654.18</v>
      </c>
      <c r="G18" s="40">
        <f t="shared" si="5"/>
        <v>89778.22</v>
      </c>
      <c r="H18" s="40">
        <f t="shared" si="5"/>
        <v>95284.260000000009</v>
      </c>
      <c r="I18" s="40">
        <f t="shared" si="5"/>
        <v>127743.10999999999</v>
      </c>
      <c r="J18" s="40">
        <f t="shared" si="5"/>
        <v>140503.55000000002</v>
      </c>
      <c r="K18" s="40">
        <f t="shared" si="5"/>
        <v>183560.87</v>
      </c>
      <c r="L18" s="40">
        <f t="shared" si="5"/>
        <v>178389.83000000002</v>
      </c>
      <c r="M18" s="40">
        <f>IFERROR(SUM('Data Sheet'!H50:K50, 'Data Sheet'!H45:K45), 0)</f>
        <v>140785.01999999999</v>
      </c>
    </row>
    <row r="19" spans="2:14" x14ac:dyDescent="0.35">
      <c r="B19" s="27" t="s">
        <v>103</v>
      </c>
      <c r="C19" s="29">
        <f t="shared" ref="C19:M19" si="6">C18/C6</f>
        <v>0.79053927626555265</v>
      </c>
      <c r="D19" s="29">
        <f t="shared" si="6"/>
        <v>0.76157081712938213</v>
      </c>
      <c r="E19" s="29">
        <f t="shared" si="6"/>
        <v>0.76795979183866525</v>
      </c>
      <c r="F19" s="29">
        <f t="shared" si="6"/>
        <v>0.73373190072550543</v>
      </c>
      <c r="G19" s="29">
        <f t="shared" si="6"/>
        <v>0.69837840444830279</v>
      </c>
      <c r="H19" s="29">
        <f t="shared" si="6"/>
        <v>0.70094730322803145</v>
      </c>
      <c r="I19" s="29">
        <f t="shared" si="6"/>
        <v>0.74811174317680895</v>
      </c>
      <c r="J19" s="29">
        <f t="shared" si="6"/>
        <v>0.49534297703549268</v>
      </c>
      <c r="K19" s="29">
        <f t="shared" si="6"/>
        <v>0.54571535062119425</v>
      </c>
      <c r="L19" s="29">
        <f t="shared" si="6"/>
        <v>0.51170991851616321</v>
      </c>
      <c r="M19" s="29">
        <f t="shared" si="6"/>
        <v>0.40384079693610558</v>
      </c>
    </row>
    <row r="21" spans="2:14" x14ac:dyDescent="0.35">
      <c r="B21" t="s">
        <v>11</v>
      </c>
      <c r="C21" s="35">
        <f>IFERROR('Data Sheet'!B27, 0)</f>
        <v>38041.58</v>
      </c>
      <c r="D21" s="35">
        <f>IFERROR('Data Sheet'!C27, 0)</f>
        <v>42381.48</v>
      </c>
      <c r="E21" s="35">
        <f>IFERROR('Data Sheet'!D27, 0)</f>
        <v>53712.69</v>
      </c>
      <c r="F21" s="35">
        <f>IFERROR('Data Sheet'!E27, 0)</f>
        <v>62137.42</v>
      </c>
      <c r="G21" s="35">
        <f>IFERROR('Data Sheet'!F27, 0)</f>
        <v>59247.59</v>
      </c>
      <c r="H21" s="35">
        <f>IFERROR('Data Sheet'!G27, 0)</f>
        <v>58584.33</v>
      </c>
      <c r="I21" s="35">
        <f>IFERROR('Data Sheet'!H27, 0)</f>
        <v>77779.94</v>
      </c>
      <c r="J21" s="35">
        <f>IFERROR('Data Sheet'!I27, 0)</f>
        <v>154138.54999999999</v>
      </c>
      <c r="K21" s="35">
        <f>IFERROR('Data Sheet'!J27, 0)</f>
        <v>183894.2</v>
      </c>
      <c r="L21" s="35">
        <f>IFERROR('Data Sheet'!K27, 0)</f>
        <v>185491.23</v>
      </c>
      <c r="M21" s="35">
        <f>IFERROR(SUM('Data Sheet'!H46:K46), 0)</f>
        <v>185491.22999999998</v>
      </c>
    </row>
    <row r="22" spans="2:14" x14ac:dyDescent="0.35">
      <c r="B22" s="27" t="s">
        <v>104</v>
      </c>
      <c r="C22" s="29">
        <f t="shared" ref="C22:M22" si="7">C21/C6</f>
        <v>0.51918764974304421</v>
      </c>
      <c r="D22" s="29">
        <f t="shared" si="7"/>
        <v>0.49692289076613977</v>
      </c>
      <c r="E22" s="29">
        <f t="shared" si="7"/>
        <v>0.51076751647050034</v>
      </c>
      <c r="F22" s="29">
        <f t="shared" si="7"/>
        <v>0.50853409492763235</v>
      </c>
      <c r="G22" s="29">
        <f t="shared" si="7"/>
        <v>0.46088279954322126</v>
      </c>
      <c r="H22" s="29">
        <f t="shared" si="7"/>
        <v>0.43096864188189171</v>
      </c>
      <c r="I22" s="29">
        <f t="shared" si="7"/>
        <v>0.45550861019109068</v>
      </c>
      <c r="J22" s="29">
        <f t="shared" si="7"/>
        <v>0.54341294745174862</v>
      </c>
      <c r="K22" s="29">
        <f t="shared" si="7"/>
        <v>0.54670632052574175</v>
      </c>
      <c r="L22" s="29">
        <f t="shared" si="7"/>
        <v>0.53208023231348378</v>
      </c>
      <c r="M22" s="29">
        <f t="shared" si="7"/>
        <v>0.53208023231348367</v>
      </c>
    </row>
    <row r="24" spans="2:14" x14ac:dyDescent="0.35">
      <c r="B24" t="s">
        <v>10</v>
      </c>
      <c r="C24" s="35">
        <f>IFERROR('Data Sheet'!B26, 0)</f>
        <v>886.19</v>
      </c>
      <c r="D24" s="35">
        <f>IFERROR('Data Sheet'!C26, 0)</f>
        <v>966.78</v>
      </c>
      <c r="E24" s="35">
        <f>IFERROR('Data Sheet'!D26, 0)</f>
        <v>1220.67</v>
      </c>
      <c r="F24" s="35">
        <f>IFERROR('Data Sheet'!E26, 0)</f>
        <v>1276.77</v>
      </c>
      <c r="G24" s="35">
        <f>IFERROR('Data Sheet'!F26, 0)</f>
        <v>1385.01</v>
      </c>
      <c r="H24" s="35">
        <f>IFERROR('Data Sheet'!G26, 0)</f>
        <v>1680.73</v>
      </c>
      <c r="I24" s="35">
        <f>IFERROR('Data Sheet'!H26, 0)</f>
        <v>2345.4699999999998</v>
      </c>
      <c r="J24" s="35">
        <f>IFERROR('Data Sheet'!I26, 0)</f>
        <v>3092.08</v>
      </c>
      <c r="K24" s="35">
        <f>IFERROR('Data Sheet'!J26, 0)</f>
        <v>3805.23</v>
      </c>
      <c r="L24" s="35">
        <f>IFERROR('Data Sheet'!K26, 0)</f>
        <v>0</v>
      </c>
      <c r="M24" s="35">
        <f>IFERROR(SUM('Data Sheet'!H45:K45), 0)</f>
        <v>0</v>
      </c>
    </row>
    <row r="25" spans="2:14" x14ac:dyDescent="0.35">
      <c r="B25" s="27" t="s">
        <v>105</v>
      </c>
      <c r="C25" s="29">
        <f t="shared" ref="C25:M25" si="8">C24/C6</f>
        <v>1.2094631803563056E-2</v>
      </c>
      <c r="D25" s="29">
        <f t="shared" si="8"/>
        <v>1.1335496361497723E-2</v>
      </c>
      <c r="E25" s="29">
        <f t="shared" si="8"/>
        <v>1.1607658903883713E-2</v>
      </c>
      <c r="F25" s="29">
        <f t="shared" si="8"/>
        <v>1.0449115466666515E-2</v>
      </c>
      <c r="G25" s="29">
        <f t="shared" si="8"/>
        <v>1.0773894536391387E-2</v>
      </c>
      <c r="H25" s="29">
        <f t="shared" si="8"/>
        <v>1.2364089944702821E-2</v>
      </c>
      <c r="I25" s="29">
        <f t="shared" si="8"/>
        <v>1.3735955311162458E-2</v>
      </c>
      <c r="J25" s="29">
        <f t="shared" si="8"/>
        <v>1.090107767691212E-2</v>
      </c>
      <c r="K25" s="29">
        <f t="shared" si="8"/>
        <v>1.1312718356827831E-2</v>
      </c>
      <c r="L25" s="29">
        <f t="shared" si="8"/>
        <v>0</v>
      </c>
      <c r="M25" s="29">
        <f t="shared" si="8"/>
        <v>0</v>
      </c>
    </row>
    <row r="26" spans="2:14" x14ac:dyDescent="0.35">
      <c r="B26" s="27"/>
    </row>
    <row r="27" spans="2:14" x14ac:dyDescent="0.35">
      <c r="B27" s="39" t="s">
        <v>108</v>
      </c>
      <c r="C27" s="40">
        <f>'Data Sheet'!B28</f>
        <v>23392.97</v>
      </c>
      <c r="D27" s="40">
        <f>'Data Sheet'!C28</f>
        <v>28463.919999999998</v>
      </c>
      <c r="E27" s="40">
        <f>'Data Sheet'!D28</f>
        <v>34318.160000000003</v>
      </c>
      <c r="F27" s="40">
        <f>'Data Sheet'!E28</f>
        <v>38194.86</v>
      </c>
      <c r="G27" s="40">
        <f>'Data Sheet'!F28</f>
        <v>42796.15</v>
      </c>
      <c r="H27" s="40">
        <f>'Data Sheet'!G28</f>
        <v>50873.38</v>
      </c>
      <c r="I27" s="40">
        <f>'Data Sheet'!H28</f>
        <v>61498.39</v>
      </c>
      <c r="J27" s="40">
        <f>'Data Sheet'!I28</f>
        <v>76568.600000000006</v>
      </c>
      <c r="K27" s="40">
        <f>'Data Sheet'!J28</f>
        <v>96242.05</v>
      </c>
      <c r="L27" s="40">
        <f>'Data Sheet'!K28</f>
        <v>102141.45</v>
      </c>
      <c r="M27" s="40">
        <f>'Data Sheet'!L28</f>
        <v>0</v>
      </c>
      <c r="N27" s="25"/>
    </row>
    <row r="28" spans="2:14" x14ac:dyDescent="0.35">
      <c r="B28" s="27" t="s">
        <v>109</v>
      </c>
      <c r="C28" s="29">
        <f>C27/C6</f>
        <v>0.31926489685258974</v>
      </c>
      <c r="D28" s="29">
        <f t="shared" ref="D28:M28" si="9">D27/D6</f>
        <v>0.33373948736420106</v>
      </c>
      <c r="E28" s="29">
        <f t="shared" si="9"/>
        <v>0.32634003906781184</v>
      </c>
      <c r="F28" s="29">
        <f t="shared" si="9"/>
        <v>0.31258762531478823</v>
      </c>
      <c r="G28" s="29">
        <f t="shared" si="9"/>
        <v>0.3329082148602438</v>
      </c>
      <c r="H28" s="29">
        <f t="shared" si="9"/>
        <v>0.37424395715614378</v>
      </c>
      <c r="I28" s="29">
        <f t="shared" si="9"/>
        <v>0.36015772393099904</v>
      </c>
      <c r="J28" s="29">
        <f t="shared" si="9"/>
        <v>0.26994135216825355</v>
      </c>
      <c r="K28" s="29">
        <f t="shared" si="9"/>
        <v>0.28612178652374282</v>
      </c>
      <c r="L28" s="29">
        <f t="shared" si="9"/>
        <v>0.29299199991738739</v>
      </c>
      <c r="M28" s="29">
        <f t="shared" si="9"/>
        <v>0</v>
      </c>
    </row>
    <row r="29" spans="2:14" x14ac:dyDescent="0.35">
      <c r="C29" t="s">
        <v>110</v>
      </c>
    </row>
    <row r="30" spans="2:14" x14ac:dyDescent="0.35">
      <c r="B30" t="s">
        <v>13</v>
      </c>
      <c r="C30" s="35">
        <f>IFERROR('Data Sheet'!B29, 0)</f>
        <v>8078.12</v>
      </c>
      <c r="D30" s="35">
        <f>IFERROR('Data Sheet'!C29, 0)</f>
        <v>9903.08</v>
      </c>
      <c r="E30" s="35">
        <f>IFERROR('Data Sheet'!D29, 0)</f>
        <v>11872.55</v>
      </c>
      <c r="F30" s="35">
        <f>IFERROR('Data Sheet'!E29, 0)</f>
        <v>10898.59</v>
      </c>
      <c r="G30" s="35">
        <f>IFERROR('Data Sheet'!F29, 0)</f>
        <v>10939.38</v>
      </c>
      <c r="H30" s="35">
        <f>IFERROR('Data Sheet'!G29, 0)</f>
        <v>12722.48</v>
      </c>
      <c r="I30" s="35">
        <f>IFERROR('Data Sheet'!H29, 0)</f>
        <v>15349.69</v>
      </c>
      <c r="J30" s="35">
        <f>IFERROR('Data Sheet'!I29, 0)</f>
        <v>11122.1</v>
      </c>
      <c r="K30" s="35">
        <f>IFERROR('Data Sheet'!J29, 0)</f>
        <v>22801.88</v>
      </c>
      <c r="L30" s="35">
        <f>IFERROR('Data Sheet'!K29, 0)</f>
        <v>22921.99</v>
      </c>
      <c r="M30" s="35">
        <f>IFERROR(SUM('Data Sheet'!H48:K48), 0)</f>
        <v>22921.99</v>
      </c>
    </row>
    <row r="31" spans="2:14" x14ac:dyDescent="0.35">
      <c r="B31" s="27" t="s">
        <v>111</v>
      </c>
      <c r="C31" s="29">
        <f>C30/C27</f>
        <v>0.34532254775686883</v>
      </c>
      <c r="D31" s="29">
        <f t="shared" ref="D31:L31" si="10">D30/D27</f>
        <v>0.34791694186886418</v>
      </c>
      <c r="E31" s="29">
        <f t="shared" si="10"/>
        <v>0.34595531928285195</v>
      </c>
      <c r="F31" s="29">
        <f t="shared" si="10"/>
        <v>0.28534179729942721</v>
      </c>
      <c r="G31" s="29">
        <f t="shared" si="10"/>
        <v>0.25561598414810677</v>
      </c>
      <c r="H31" s="29">
        <f t="shared" si="10"/>
        <v>0.2500812802294638</v>
      </c>
      <c r="I31" s="29">
        <f t="shared" si="10"/>
        <v>0.24959498939728342</v>
      </c>
      <c r="J31" s="29">
        <f t="shared" si="10"/>
        <v>0.14525667179496554</v>
      </c>
      <c r="K31" s="29">
        <f t="shared" si="10"/>
        <v>0.23692221851051593</v>
      </c>
      <c r="L31" s="29">
        <f t="shared" si="10"/>
        <v>0.22441418248908745</v>
      </c>
      <c r="M31" s="29">
        <f>IFERROR(M30/M27,0)</f>
        <v>0</v>
      </c>
    </row>
    <row r="33" spans="1:13" x14ac:dyDescent="0.35">
      <c r="B33" s="39" t="s">
        <v>112</v>
      </c>
      <c r="C33" s="40">
        <f>IFERROR((C27-C30), 0)</f>
        <v>15314.850000000002</v>
      </c>
      <c r="D33" s="40">
        <f t="shared" ref="D33:M33" si="11">IFERROR((D27-D30), 0)</f>
        <v>18560.839999999997</v>
      </c>
      <c r="E33" s="40">
        <f t="shared" si="11"/>
        <v>22445.610000000004</v>
      </c>
      <c r="F33" s="40">
        <f t="shared" si="11"/>
        <v>27296.27</v>
      </c>
      <c r="G33" s="40">
        <f t="shared" si="11"/>
        <v>31856.770000000004</v>
      </c>
      <c r="H33" s="40">
        <f t="shared" si="11"/>
        <v>38150.899999999994</v>
      </c>
      <c r="I33" s="40">
        <f t="shared" si="11"/>
        <v>46148.7</v>
      </c>
      <c r="J33" s="40">
        <f t="shared" si="11"/>
        <v>65446.500000000007</v>
      </c>
      <c r="K33" s="40">
        <f t="shared" si="11"/>
        <v>73440.17</v>
      </c>
      <c r="L33" s="40">
        <f t="shared" si="11"/>
        <v>79219.459999999992</v>
      </c>
      <c r="M33" s="40">
        <f t="shared" si="11"/>
        <v>-22921.99</v>
      </c>
    </row>
    <row r="34" spans="1:13" x14ac:dyDescent="0.35">
      <c r="B34" s="27" t="s">
        <v>113</v>
      </c>
      <c r="C34" s="29">
        <f>C33/C6</f>
        <v>0.20901552926211953</v>
      </c>
      <c r="D34" s="29">
        <f t="shared" ref="D34:L34" si="12">D33/D6</f>
        <v>0.21762586553956575</v>
      </c>
      <c r="E34" s="29">
        <f t="shared" si="12"/>
        <v>0.21344096665732862</v>
      </c>
      <c r="F34" s="29">
        <f t="shared" si="12"/>
        <v>0.22339331049390665</v>
      </c>
      <c r="G34" s="29">
        <f t="shared" si="12"/>
        <v>0.24781155388775322</v>
      </c>
      <c r="H34" s="29">
        <f t="shared" si="12"/>
        <v>0.28065254923239469</v>
      </c>
      <c r="I34" s="29">
        <f t="shared" si="12"/>
        <v>0.27026416064509157</v>
      </c>
      <c r="J34" s="29">
        <f t="shared" si="12"/>
        <v>0.23073056977246037</v>
      </c>
      <c r="K34" s="29">
        <f t="shared" si="12"/>
        <v>0.21833317809634542</v>
      </c>
      <c r="L34" s="29">
        <f t="shared" si="12"/>
        <v>0.2272404397800841</v>
      </c>
      <c r="M34" s="29">
        <f>M33/M6</f>
        <v>-6.5751560137303267E-2</v>
      </c>
    </row>
    <row r="36" spans="1:13" x14ac:dyDescent="0.35">
      <c r="B36" t="s">
        <v>74</v>
      </c>
      <c r="C36" s="35">
        <f>IFERROR('Data Sheet'!B93, 0)</f>
        <v>1025.02</v>
      </c>
      <c r="D36" s="35">
        <f>IFERROR('Data Sheet'!C93, 0)</f>
        <v>1038.04</v>
      </c>
      <c r="E36" s="35">
        <f>IFERROR('Data Sheet'!D93, 0)</f>
        <v>1089.32</v>
      </c>
      <c r="F36" s="35">
        <f>IFERROR('Data Sheet'!E93, 0)</f>
        <v>1096.6600000000001</v>
      </c>
      <c r="G36" s="35">
        <f>IFERROR('Data Sheet'!F93, 0)</f>
        <v>1102.56</v>
      </c>
      <c r="H36" s="35">
        <f>IFERROR('Data Sheet'!G93, 0)</f>
        <v>1109.1099999999999</v>
      </c>
      <c r="I36" s="35">
        <f>IFERROR('Data Sheet'!H93, 0)</f>
        <v>1115.95</v>
      </c>
      <c r="J36" s="35">
        <f>IFERROR('Data Sheet'!I93, 0)</f>
        <v>1519.38</v>
      </c>
      <c r="K36" s="35">
        <f>IFERROR('Data Sheet'!J93, 0)</f>
        <v>1530.44</v>
      </c>
      <c r="L36" s="35">
        <f>IFERROR('Data Sheet'!K93, 0)</f>
        <v>1539.34</v>
      </c>
      <c r="M36" s="113" t="s">
        <v>97</v>
      </c>
    </row>
    <row r="37" spans="1:13" x14ac:dyDescent="0.35"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x14ac:dyDescent="0.35">
      <c r="B38" t="s">
        <v>115</v>
      </c>
      <c r="C38" s="35">
        <f>IFERROR(C33/C36, 0)</f>
        <v>14.941025540965057</v>
      </c>
      <c r="D38" s="35">
        <f t="shared" ref="D38:L38" si="13">IFERROR(D33/D36, 0)</f>
        <v>17.880659704828329</v>
      </c>
      <c r="E38" s="35">
        <f t="shared" si="13"/>
        <v>20.605157345867152</v>
      </c>
      <c r="F38" s="35">
        <f t="shared" si="13"/>
        <v>24.890367114693706</v>
      </c>
      <c r="G38" s="35">
        <f t="shared" si="13"/>
        <v>28.89345704542157</v>
      </c>
      <c r="H38" s="35">
        <f t="shared" si="13"/>
        <v>34.397760366419924</v>
      </c>
      <c r="I38" s="35">
        <f t="shared" si="13"/>
        <v>41.353734486312106</v>
      </c>
      <c r="J38" s="35">
        <f t="shared" si="13"/>
        <v>43.074477747502272</v>
      </c>
      <c r="K38" s="35">
        <f t="shared" si="13"/>
        <v>47.986311126212065</v>
      </c>
      <c r="L38" s="35">
        <f t="shared" si="13"/>
        <v>51.463263476554886</v>
      </c>
      <c r="M38" s="35"/>
    </row>
    <row r="39" spans="1:13" x14ac:dyDescent="0.35">
      <c r="B39" s="27" t="s">
        <v>116</v>
      </c>
      <c r="C39" s="27"/>
      <c r="D39" s="29">
        <f>IFERROR(D38/C38-1,0)</f>
        <v>0.19674915592664166</v>
      </c>
      <c r="E39" s="29">
        <f t="shared" ref="E39:L39" si="14">IFERROR(E38/D38-1,0)</f>
        <v>0.15237120363647016</v>
      </c>
      <c r="F39" s="29">
        <f t="shared" si="14"/>
        <v>0.20796782557382665</v>
      </c>
      <c r="G39" s="29">
        <f t="shared" si="14"/>
        <v>0.16082888260674522</v>
      </c>
      <c r="H39" s="29">
        <f t="shared" si="14"/>
        <v>0.19050345247179612</v>
      </c>
      <c r="I39" s="29">
        <f t="shared" si="14"/>
        <v>0.20222171576853021</v>
      </c>
      <c r="J39" s="29">
        <f t="shared" si="14"/>
        <v>4.1610347470788289E-2</v>
      </c>
      <c r="K39" s="29">
        <f t="shared" si="14"/>
        <v>0.11403117659376871</v>
      </c>
      <c r="L39" s="29">
        <f t="shared" si="14"/>
        <v>7.2457170987739739E-2</v>
      </c>
      <c r="M39" s="29"/>
    </row>
    <row r="41" spans="1:13" x14ac:dyDescent="0.35">
      <c r="B41" t="s">
        <v>114</v>
      </c>
      <c r="C41" s="35">
        <f>IFERROR('Data Sheet'!B31/'Data Sheet'!B93,0)</f>
        <v>2.7499951220463994</v>
      </c>
      <c r="D41" s="35">
        <f>IFERROR('Data Sheet'!C31/'Data Sheet'!C93,0)</f>
        <v>3.25</v>
      </c>
      <c r="E41" s="35">
        <f>IFERROR('Data Sheet'!D31/'Data Sheet'!D93,0)</f>
        <v>3.75</v>
      </c>
      <c r="F41" s="35">
        <f>IFERROR('Data Sheet'!E31/'Data Sheet'!E93,0)</f>
        <v>1.249995440701767</v>
      </c>
      <c r="G41" s="35">
        <f>IFERROR('Data Sheet'!F31/'Data Sheet'!F93,0)</f>
        <v>3.2500000000000004</v>
      </c>
      <c r="H41" s="35">
        <f>IFERROR('Data Sheet'!G31/'Data Sheet'!G93,0)</f>
        <v>7.7499256160344796</v>
      </c>
      <c r="I41" s="35">
        <f>IFERROR('Data Sheet'!H31/'Data Sheet'!H93,0)</f>
        <v>9.4999148707379355</v>
      </c>
      <c r="J41" s="35">
        <f>IFERROR('Data Sheet'!I31/'Data Sheet'!I93,0)</f>
        <v>9.7500032908159895</v>
      </c>
      <c r="K41" s="35">
        <f>IFERROR('Data Sheet'!J31/'Data Sheet'!J93,0)</f>
        <v>11</v>
      </c>
      <c r="L41" s="35">
        <f>IFERROR('Data Sheet'!K31/'Data Sheet'!K93,0)</f>
        <v>15.500000000000002</v>
      </c>
      <c r="M41" s="35">
        <f>IFERROR('Data Sheet'!L31/'Data Sheet'!L93,0)</f>
        <v>0</v>
      </c>
    </row>
    <row r="42" spans="1:13" x14ac:dyDescent="0.35">
      <c r="B42" s="27" t="s">
        <v>117</v>
      </c>
      <c r="C42" s="26">
        <f>IFERROR(C41/C38,0)</f>
        <v>0.18405665089765813</v>
      </c>
      <c r="D42" s="26">
        <f t="shared" ref="D42:L42" si="15">IFERROR(D41/D38,0)</f>
        <v>0.18176063152314229</v>
      </c>
      <c r="E42" s="26">
        <f t="shared" si="15"/>
        <v>0.181993271735542</v>
      </c>
      <c r="F42" s="26">
        <f t="shared" si="15"/>
        <v>5.0220048380236561E-2</v>
      </c>
      <c r="G42" s="26">
        <f t="shared" si="15"/>
        <v>0.11248221335684691</v>
      </c>
      <c r="H42" s="26">
        <f t="shared" si="15"/>
        <v>0.22530320385626554</v>
      </c>
      <c r="I42" s="26">
        <f t="shared" si="15"/>
        <v>0.22972326414395206</v>
      </c>
      <c r="J42" s="26">
        <f t="shared" si="15"/>
        <v>0.22635221134820041</v>
      </c>
      <c r="K42" s="26">
        <f t="shared" si="15"/>
        <v>0.2292320401763776</v>
      </c>
      <c r="L42" s="26">
        <f t="shared" si="15"/>
        <v>0.30118571876152656</v>
      </c>
      <c r="M42" s="26"/>
    </row>
    <row r="44" spans="1:13" x14ac:dyDescent="0.35">
      <c r="B44" t="s">
        <v>118</v>
      </c>
      <c r="C44" s="26">
        <f>IFERROR(IF(C38&gt;C41, 1-C42),0)</f>
        <v>0.8159433491023419</v>
      </c>
      <c r="D44" s="26">
        <f t="shared" ref="D44:L44" si="16">IFERROR(IF(D38&gt;D41, 1-D42),0)</f>
        <v>0.81823936847685774</v>
      </c>
      <c r="E44" s="26">
        <f t="shared" si="16"/>
        <v>0.81800672826445797</v>
      </c>
      <c r="F44" s="26">
        <f t="shared" si="16"/>
        <v>0.94977995161976347</v>
      </c>
      <c r="G44" s="26">
        <f t="shared" si="16"/>
        <v>0.88751778664315306</v>
      </c>
      <c r="H44" s="26">
        <f t="shared" si="16"/>
        <v>0.77469679614373443</v>
      </c>
      <c r="I44" s="26">
        <f t="shared" si="16"/>
        <v>0.77027673585604794</v>
      </c>
      <c r="J44" s="78">
        <f t="shared" si="16"/>
        <v>0.77364778865179962</v>
      </c>
      <c r="K44" s="78">
        <f t="shared" si="16"/>
        <v>0.77076795982362234</v>
      </c>
      <c r="L44" s="78">
        <f t="shared" si="16"/>
        <v>0.69881428123847344</v>
      </c>
    </row>
    <row r="46" spans="1:13" x14ac:dyDescent="0.35">
      <c r="A46" t="s">
        <v>95</v>
      </c>
      <c r="B46" s="33" t="s">
        <v>119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</row>
    <row r="47" spans="1:13" x14ac:dyDescent="0.35">
      <c r="B47" t="s">
        <v>24</v>
      </c>
      <c r="C47" s="35">
        <f>IFERROR('Data Sheet'!B57,0)</f>
        <v>512.51</v>
      </c>
      <c r="D47" s="35">
        <f>IFERROR('Data Sheet'!C57,0)</f>
        <v>519.02</v>
      </c>
      <c r="E47" s="35">
        <f>IFERROR('Data Sheet'!D57,0)</f>
        <v>544.66</v>
      </c>
      <c r="F47" s="35">
        <f>IFERROR('Data Sheet'!E57,0)</f>
        <v>548.33000000000004</v>
      </c>
      <c r="G47" s="35">
        <f>IFERROR('Data Sheet'!F57,0)</f>
        <v>551.28</v>
      </c>
      <c r="H47" s="35">
        <f>IFERROR('Data Sheet'!G57,0)</f>
        <v>554.54999999999995</v>
      </c>
      <c r="I47" s="35">
        <f>IFERROR('Data Sheet'!H57,0)</f>
        <v>557.97</v>
      </c>
      <c r="J47" s="35">
        <f>IFERROR('Data Sheet'!I57,0)</f>
        <v>759.69</v>
      </c>
      <c r="K47" s="35">
        <f>IFERROR('Data Sheet'!J57,0)</f>
        <v>765.22</v>
      </c>
      <c r="L47" s="35">
        <f>IFERROR('Data Sheet'!K57,0)</f>
        <v>1539.34</v>
      </c>
      <c r="M47" s="25"/>
    </row>
    <row r="48" spans="1:13" x14ac:dyDescent="0.35">
      <c r="B48" t="s">
        <v>25</v>
      </c>
      <c r="C48" s="35">
        <f>IFERROR('Data Sheet'!B58,0)</f>
        <v>91281.44</v>
      </c>
      <c r="D48" s="35">
        <f>IFERROR('Data Sheet'!C58,0)</f>
        <v>109080.11</v>
      </c>
      <c r="E48" s="35">
        <f>IFERROR('Data Sheet'!D58,0)</f>
        <v>153128</v>
      </c>
      <c r="F48" s="35">
        <f>IFERROR('Data Sheet'!E58,0)</f>
        <v>175810.38</v>
      </c>
      <c r="G48" s="35">
        <f>IFERROR('Data Sheet'!F58,0)</f>
        <v>209258.9</v>
      </c>
      <c r="H48" s="35">
        <f>IFERROR('Data Sheet'!G58,0)</f>
        <v>246771.62</v>
      </c>
      <c r="I48" s="35">
        <f>IFERROR('Data Sheet'!H58,0)</f>
        <v>288879.53000000003</v>
      </c>
      <c r="J48" s="35">
        <f>IFERROR('Data Sheet'!I58,0)</f>
        <v>455635.56</v>
      </c>
      <c r="K48" s="35">
        <f>IFERROR('Data Sheet'!J58,0)</f>
        <v>521024.17</v>
      </c>
      <c r="L48" s="35">
        <f>IFERROR('Data Sheet'!K58,0)</f>
        <v>579975.02</v>
      </c>
      <c r="M48" s="25"/>
    </row>
    <row r="49" spans="2:13" x14ac:dyDescent="0.35">
      <c r="B49" t="s">
        <v>71</v>
      </c>
      <c r="C49" s="35">
        <f>IFERROR('Data Sheet'!B59,0)</f>
        <v>741549.89</v>
      </c>
      <c r="D49" s="35">
        <f>IFERROR('Data Sheet'!C59,0)</f>
        <v>944817.22</v>
      </c>
      <c r="E49" s="35">
        <f>IFERROR('Data Sheet'!D59,0)</f>
        <v>1080235.46</v>
      </c>
      <c r="F49" s="35">
        <f>IFERROR('Data Sheet'!E59,0)</f>
        <v>1333041.45</v>
      </c>
      <c r="G49" s="35">
        <f>IFERROR('Data Sheet'!F59,0)</f>
        <v>1511417.62</v>
      </c>
      <c r="H49" s="35">
        <f>IFERROR('Data Sheet'!G59,0)</f>
        <v>1784969.53</v>
      </c>
      <c r="I49" s="35">
        <f>IFERROR('Data Sheet'!H59,0)</f>
        <v>2139211.91</v>
      </c>
      <c r="J49" s="35">
        <f>IFERROR('Data Sheet'!I59,0)</f>
        <v>3107502.74</v>
      </c>
      <c r="K49" s="35">
        <f>IFERROR('Data Sheet'!J59,0)</f>
        <v>3345503.8</v>
      </c>
      <c r="L49" s="35">
        <f>IFERROR('Data Sheet'!K59,0)</f>
        <v>3688122.84</v>
      </c>
      <c r="M49" s="25"/>
    </row>
    <row r="50" spans="2:13" x14ac:dyDescent="0.35">
      <c r="B50" t="s">
        <v>72</v>
      </c>
      <c r="C50" s="35">
        <f>IFERROR('Data Sheet'!B60,0)</f>
        <v>59000.32</v>
      </c>
      <c r="D50" s="35">
        <f>IFERROR('Data Sheet'!C60,0)</f>
        <v>48769.82</v>
      </c>
      <c r="E50" s="35">
        <f>IFERROR('Data Sheet'!D60,0)</f>
        <v>58897.59</v>
      </c>
      <c r="F50" s="35">
        <f>IFERROR('Data Sheet'!E60,0)</f>
        <v>71430.27</v>
      </c>
      <c r="G50" s="35">
        <f>IFERROR('Data Sheet'!F60,0)</f>
        <v>78278.83</v>
      </c>
      <c r="H50" s="35">
        <f>IFERROR('Data Sheet'!G60,0)</f>
        <v>90638.6</v>
      </c>
      <c r="I50" s="35">
        <f>IFERROR('Data Sheet'!H60,0)</f>
        <v>101783.03</v>
      </c>
      <c r="J50" s="35">
        <f>IFERROR('Data Sheet'!I60,0)</f>
        <v>466296.27</v>
      </c>
      <c r="K50" s="35">
        <f>IFERROR('Data Sheet'!J60,0)</f>
        <v>524816.64000000001</v>
      </c>
      <c r="L50" s="35">
        <f>IFERROR('Data Sheet'!K60,0)</f>
        <v>638403.64</v>
      </c>
      <c r="M50" s="25"/>
    </row>
    <row r="51" spans="2:13" x14ac:dyDescent="0.35">
      <c r="B51" s="39" t="s">
        <v>120</v>
      </c>
      <c r="C51" s="40">
        <f>IFERROR('Data Sheet'!B61,0)</f>
        <v>892344.16</v>
      </c>
      <c r="D51" s="40">
        <f>IFERROR('Data Sheet'!C61,0)</f>
        <v>1103186.17</v>
      </c>
      <c r="E51" s="40">
        <f>IFERROR('Data Sheet'!D61,0)</f>
        <v>1292805.71</v>
      </c>
      <c r="F51" s="40">
        <f>IFERROR('Data Sheet'!E61,0)</f>
        <v>1580830.43</v>
      </c>
      <c r="G51" s="40">
        <f>IFERROR('Data Sheet'!F61,0)</f>
        <v>1799506.63</v>
      </c>
      <c r="H51" s="40">
        <f>IFERROR('Data Sheet'!G61,0)</f>
        <v>2122934.2999999998</v>
      </c>
      <c r="I51" s="40">
        <f>IFERROR('Data Sheet'!H61,0)</f>
        <v>2530432.44</v>
      </c>
      <c r="J51" s="40">
        <f>IFERROR('Data Sheet'!I61,0)</f>
        <v>4030194.26</v>
      </c>
      <c r="K51" s="40">
        <f>IFERROR('Data Sheet'!J61,0)</f>
        <v>4392109.83</v>
      </c>
      <c r="L51" s="40">
        <f>IFERROR('Data Sheet'!K61,0)</f>
        <v>4908040.84</v>
      </c>
      <c r="M51" s="25"/>
    </row>
    <row r="52" spans="2:13" x14ac:dyDescent="0.35">
      <c r="B52" s="2"/>
      <c r="C52" s="35"/>
      <c r="D52" s="35"/>
      <c r="E52" s="35"/>
      <c r="F52" s="35"/>
      <c r="G52" s="35"/>
      <c r="H52" s="35"/>
      <c r="I52" s="35"/>
      <c r="J52" s="35"/>
      <c r="K52" s="35"/>
      <c r="L52" s="35"/>
    </row>
    <row r="53" spans="2:13" x14ac:dyDescent="0.35">
      <c r="B53" t="s">
        <v>122</v>
      </c>
      <c r="C53" s="35">
        <f>IFERROR('Data Sheet'!B62,0)</f>
        <v>3999.7</v>
      </c>
      <c r="D53" s="35">
        <f>IFERROR('Data Sheet'!C62,0)</f>
        <v>4008.13</v>
      </c>
      <c r="E53" s="35">
        <f>IFERROR('Data Sheet'!D62,0)</f>
        <v>4368.63</v>
      </c>
      <c r="F53" s="35">
        <f>IFERROR('Data Sheet'!E62,0)</f>
        <v>4775.6499999999996</v>
      </c>
      <c r="G53" s="35">
        <f>IFERROR('Data Sheet'!F62,0)</f>
        <v>5248.35</v>
      </c>
      <c r="H53" s="35">
        <f>IFERROR('Data Sheet'!G62,0)</f>
        <v>6432.07</v>
      </c>
      <c r="I53" s="35">
        <f>IFERROR('Data Sheet'!H62,0)</f>
        <v>8431.35</v>
      </c>
      <c r="J53" s="35">
        <f>IFERROR('Data Sheet'!I62,0)</f>
        <v>12603.76</v>
      </c>
      <c r="K53" s="35">
        <f>IFERROR('Data Sheet'!J62,0)</f>
        <v>15257.94</v>
      </c>
      <c r="L53" s="35">
        <f>IFERROR('Data Sheet'!K62,0)</f>
        <v>16491.59</v>
      </c>
    </row>
    <row r="54" spans="2:13" x14ac:dyDescent="0.35">
      <c r="B54" t="s">
        <v>28</v>
      </c>
      <c r="C54" s="35">
        <f>IFERROR('Data Sheet'!B63,0)</f>
        <v>0</v>
      </c>
      <c r="D54" s="35">
        <f>IFERROR('Data Sheet'!C63,0)</f>
        <v>0</v>
      </c>
      <c r="E54" s="35">
        <f>IFERROR('Data Sheet'!D63,0)</f>
        <v>0</v>
      </c>
      <c r="F54" s="35">
        <f>IFERROR('Data Sheet'!E63,0)</f>
        <v>0</v>
      </c>
      <c r="G54" s="35">
        <f>IFERROR('Data Sheet'!F63,0)</f>
        <v>0</v>
      </c>
      <c r="H54" s="35">
        <f>IFERROR('Data Sheet'!G63,0)</f>
        <v>0</v>
      </c>
      <c r="I54" s="35">
        <f>IFERROR('Data Sheet'!H63,0)</f>
        <v>0</v>
      </c>
      <c r="J54" s="35">
        <f>IFERROR('Data Sheet'!I63,0)</f>
        <v>0</v>
      </c>
      <c r="K54" s="35">
        <f>IFERROR('Data Sheet'!J63,0)</f>
        <v>0</v>
      </c>
      <c r="L54" s="35">
        <f>IFERROR('Data Sheet'!K63,0)</f>
        <v>0</v>
      </c>
    </row>
    <row r="55" spans="2:13" x14ac:dyDescent="0.35">
      <c r="B55" t="s">
        <v>29</v>
      </c>
      <c r="C55" s="35">
        <f>IFERROR('Data Sheet'!B64,0)</f>
        <v>210777.11</v>
      </c>
      <c r="D55" s="35">
        <f>IFERROR('Data Sheet'!C64,0)</f>
        <v>238460.92</v>
      </c>
      <c r="E55" s="35">
        <f>IFERROR('Data Sheet'!D64,0)</f>
        <v>289445.87</v>
      </c>
      <c r="F55" s="35">
        <f>IFERROR('Data Sheet'!E64,0)</f>
        <v>389304.95</v>
      </c>
      <c r="G55" s="35">
        <f>IFERROR('Data Sheet'!F64,0)</f>
        <v>438823.11</v>
      </c>
      <c r="H55" s="35">
        <f>IFERROR('Data Sheet'!G64,0)</f>
        <v>449263.86</v>
      </c>
      <c r="I55" s="35">
        <f>IFERROR('Data Sheet'!H64,0)</f>
        <v>511581.71</v>
      </c>
      <c r="J55" s="35">
        <f>IFERROR('Data Sheet'!I64,0)</f>
        <v>1005681.63</v>
      </c>
      <c r="K55" s="35">
        <f>IFERROR('Data Sheet'!J64,0)</f>
        <v>1186472.8899999999</v>
      </c>
      <c r="L55" s="35">
        <f>IFERROR('Data Sheet'!K64,0)</f>
        <v>1280216.29</v>
      </c>
    </row>
    <row r="56" spans="2:13" x14ac:dyDescent="0.35">
      <c r="B56" t="s">
        <v>73</v>
      </c>
      <c r="C56" s="35">
        <f>IFERROR('Data Sheet'!B65-1*(SUM(HistoricalFS!C59:C61)),0)</f>
        <v>643934.06999999995</v>
      </c>
      <c r="D56" s="35">
        <f>IFERROR('Data Sheet'!C65-1*(SUM(HistoricalFS!D59:D61)),0)</f>
        <v>763578.98</v>
      </c>
      <c r="E56" s="35">
        <f>IFERROR('Data Sheet'!D65-1*(SUM(HistoricalFS!E59:E61)),0)</f>
        <v>959619.08</v>
      </c>
      <c r="F56" s="35">
        <f>IFERROR('Data Sheet'!E65-1*(SUM(HistoricalFS!F59:F61)),0)</f>
        <v>1123752.4100000001</v>
      </c>
      <c r="G56" s="35">
        <f>IFERROR('Data Sheet'!F65-1*(SUM(HistoricalFS!G59:G61)),0)</f>
        <v>1268787</v>
      </c>
      <c r="H56" s="35">
        <f>IFERROR('Data Sheet'!G65-1*(SUM(HistoricalFS!H59:H61)),0)</f>
        <v>1548447.1700000002</v>
      </c>
      <c r="I56" s="35">
        <f>IFERROR('Data Sheet'!H65-1*(SUM(HistoricalFS!I59:I61)),0)</f>
        <v>1906501.45</v>
      </c>
      <c r="J56" s="35">
        <f>IFERROR('Data Sheet'!I65-1*(SUM(HistoricalFS!J59:J61)),0)</f>
        <v>2846250.2800000003</v>
      </c>
      <c r="K56" s="35">
        <f>IFERROR('Data Sheet'!J65-1*(SUM(HistoricalFS!K59:K61)),0)</f>
        <v>3058151.63</v>
      </c>
      <c r="L56" s="35">
        <f>IFERROR('Data Sheet'!K65-1*(SUM(HistoricalFS!L59:L61)),0)</f>
        <v>3410625.85</v>
      </c>
    </row>
    <row r="57" spans="2:13" x14ac:dyDescent="0.35">
      <c r="B57" s="39" t="s">
        <v>121</v>
      </c>
      <c r="C57" s="40">
        <f>IFERROR(SUM(C53:C56),0)</f>
        <v>858710.87999999989</v>
      </c>
      <c r="D57" s="40">
        <f t="shared" ref="D57:L57" si="17">IFERROR(SUM(D53:D56),0)</f>
        <v>1006048.03</v>
      </c>
      <c r="E57" s="40">
        <f t="shared" si="17"/>
        <v>1253433.58</v>
      </c>
      <c r="F57" s="40">
        <f t="shared" si="17"/>
        <v>1517833.0100000002</v>
      </c>
      <c r="G57" s="40">
        <f t="shared" si="17"/>
        <v>1712858.46</v>
      </c>
      <c r="H57" s="40">
        <f t="shared" si="17"/>
        <v>2004143.1</v>
      </c>
      <c r="I57" s="40">
        <f t="shared" si="17"/>
        <v>2426514.5099999998</v>
      </c>
      <c r="J57" s="40">
        <f t="shared" si="17"/>
        <v>3864535.6700000004</v>
      </c>
      <c r="K57" s="40">
        <f t="shared" si="17"/>
        <v>4259882.46</v>
      </c>
      <c r="L57" s="40">
        <f t="shared" si="17"/>
        <v>4707333.7300000004</v>
      </c>
    </row>
    <row r="58" spans="2:13" x14ac:dyDescent="0.35">
      <c r="B58" s="2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2:13" x14ac:dyDescent="0.35">
      <c r="B59" t="s">
        <v>78</v>
      </c>
      <c r="C59" s="35">
        <f>IFERROR('Data Sheet'!B67,0)</f>
        <v>0</v>
      </c>
      <c r="D59" s="35">
        <f>IFERROR('Data Sheet'!C67,0)</f>
        <v>0</v>
      </c>
      <c r="E59" s="35">
        <f>IFERROR('Data Sheet'!D67,0)</f>
        <v>0</v>
      </c>
      <c r="F59" s="35">
        <f>IFERROR('Data Sheet'!E67,0)</f>
        <v>0</v>
      </c>
      <c r="G59" s="35">
        <f>IFERROR('Data Sheet'!F67,0)</f>
        <v>0</v>
      </c>
      <c r="H59" s="35">
        <f>IFERROR('Data Sheet'!G67,0)</f>
        <v>0</v>
      </c>
      <c r="I59" s="35">
        <f>IFERROR('Data Sheet'!H67,0)</f>
        <v>0</v>
      </c>
      <c r="J59" s="35">
        <f>IFERROR('Data Sheet'!I67,0)</f>
        <v>0</v>
      </c>
      <c r="K59" s="35">
        <f>IFERROR('Data Sheet'!J67,0)</f>
        <v>0</v>
      </c>
      <c r="L59" s="35">
        <f>IFERROR('Data Sheet'!K67,0)</f>
        <v>0</v>
      </c>
    </row>
    <row r="60" spans="2:13" x14ac:dyDescent="0.35">
      <c r="B60" t="s">
        <v>45</v>
      </c>
      <c r="C60" s="35">
        <f>IFERROR('Data Sheet'!B68,0)</f>
        <v>0</v>
      </c>
      <c r="D60" s="35">
        <f>IFERROR('Data Sheet'!C68,0)</f>
        <v>0</v>
      </c>
      <c r="E60" s="35">
        <f>IFERROR('Data Sheet'!D68,0)</f>
        <v>0</v>
      </c>
      <c r="F60" s="35">
        <f>IFERROR('Data Sheet'!E68,0)</f>
        <v>0</v>
      </c>
      <c r="G60" s="35">
        <f>IFERROR('Data Sheet'!F68,0)</f>
        <v>0</v>
      </c>
      <c r="H60" s="35">
        <f>IFERROR('Data Sheet'!G68,0)</f>
        <v>0</v>
      </c>
      <c r="I60" s="35">
        <f>IFERROR('Data Sheet'!H68,0)</f>
        <v>0</v>
      </c>
      <c r="J60" s="35">
        <f>IFERROR('Data Sheet'!I68,0)</f>
        <v>0</v>
      </c>
      <c r="K60" s="35">
        <f>IFERROR('Data Sheet'!J68,0)</f>
        <v>0</v>
      </c>
      <c r="L60" s="35">
        <f>IFERROR('Data Sheet'!K68,0)</f>
        <v>0</v>
      </c>
    </row>
    <row r="61" spans="2:13" x14ac:dyDescent="0.35">
      <c r="B61" t="s">
        <v>87</v>
      </c>
      <c r="C61" s="35">
        <f>IFERROR('Data Sheet'!B69,0)</f>
        <v>33633.279999999999</v>
      </c>
      <c r="D61" s="35">
        <f>IFERROR('Data Sheet'!C69,0)</f>
        <v>97138.14</v>
      </c>
      <c r="E61" s="35">
        <f>IFERROR('Data Sheet'!D69,0)</f>
        <v>39372.129999999997</v>
      </c>
      <c r="F61" s="35">
        <f>IFERROR('Data Sheet'!E69,0)</f>
        <v>62997.42</v>
      </c>
      <c r="G61" s="35">
        <f>IFERROR('Data Sheet'!F69,0)</f>
        <v>86648.17</v>
      </c>
      <c r="H61" s="35">
        <f>IFERROR('Data Sheet'!G69,0)</f>
        <v>118791.2</v>
      </c>
      <c r="I61" s="35">
        <f>IFERROR('Data Sheet'!H69,0)</f>
        <v>103917.93</v>
      </c>
      <c r="J61" s="35">
        <f>IFERROR('Data Sheet'!I69,0)</f>
        <v>165658.59</v>
      </c>
      <c r="K61" s="35">
        <f>IFERROR('Data Sheet'!J69,0)</f>
        <v>132227.37</v>
      </c>
      <c r="L61" s="35">
        <f>IFERROR('Data Sheet'!K69,0)</f>
        <v>200707.11</v>
      </c>
    </row>
    <row r="62" spans="2:13" x14ac:dyDescent="0.35">
      <c r="B62" s="39" t="s">
        <v>123</v>
      </c>
      <c r="C62" s="40">
        <f>IFERROR(SUM(C59:C61),0)</f>
        <v>33633.279999999999</v>
      </c>
      <c r="D62" s="40">
        <f t="shared" ref="D62:L62" si="18">IFERROR(SUM(D59:D61),0)</f>
        <v>97138.14</v>
      </c>
      <c r="E62" s="40">
        <f t="shared" si="18"/>
        <v>39372.129999999997</v>
      </c>
      <c r="F62" s="40">
        <f t="shared" si="18"/>
        <v>62997.42</v>
      </c>
      <c r="G62" s="40">
        <f t="shared" si="18"/>
        <v>86648.17</v>
      </c>
      <c r="H62" s="40">
        <f t="shared" si="18"/>
        <v>118791.2</v>
      </c>
      <c r="I62" s="40">
        <f t="shared" si="18"/>
        <v>103917.93</v>
      </c>
      <c r="J62" s="40">
        <f t="shared" si="18"/>
        <v>165658.59</v>
      </c>
      <c r="K62" s="40">
        <f t="shared" si="18"/>
        <v>132227.37</v>
      </c>
      <c r="L62" s="40">
        <f t="shared" si="18"/>
        <v>200707.11</v>
      </c>
    </row>
    <row r="63" spans="2:13" x14ac:dyDescent="0.35">
      <c r="C63" s="35"/>
      <c r="D63" s="35"/>
      <c r="E63" s="35"/>
      <c r="F63" s="35"/>
      <c r="G63" s="35"/>
      <c r="H63" s="35"/>
      <c r="I63" s="35"/>
      <c r="J63" s="35"/>
      <c r="K63" s="35"/>
      <c r="L63" s="35"/>
    </row>
    <row r="64" spans="2:13" x14ac:dyDescent="0.35">
      <c r="B64" s="39" t="s">
        <v>124</v>
      </c>
      <c r="C64" s="40">
        <f>IFERROR('Data Sheet'!B66,0)</f>
        <v>892344.16</v>
      </c>
      <c r="D64" s="40">
        <f>IFERROR('Data Sheet'!C66,0)</f>
        <v>1103186.17</v>
      </c>
      <c r="E64" s="40">
        <f>IFERROR('Data Sheet'!D66,0)</f>
        <v>1292805.71</v>
      </c>
      <c r="F64" s="40">
        <f>IFERROR('Data Sheet'!E66,0)</f>
        <v>1580830.43</v>
      </c>
      <c r="G64" s="40">
        <f>IFERROR('Data Sheet'!F66,0)</f>
        <v>1799506.63</v>
      </c>
      <c r="H64" s="40">
        <f>IFERROR('Data Sheet'!G66,0)</f>
        <v>2122934.2999999998</v>
      </c>
      <c r="I64" s="40">
        <f>IFERROR('Data Sheet'!H66,0)</f>
        <v>2530432.44</v>
      </c>
      <c r="J64" s="40">
        <f>IFERROR('Data Sheet'!I66,0)</f>
        <v>4030194.26</v>
      </c>
      <c r="K64" s="40">
        <f>IFERROR('Data Sheet'!J66,0)</f>
        <v>4392109.83</v>
      </c>
      <c r="L64" s="40">
        <f>IFERROR('Data Sheet'!K66,0)</f>
        <v>4908040.84</v>
      </c>
    </row>
    <row r="66" spans="1:13" x14ac:dyDescent="0.35">
      <c r="B66" s="36" t="s">
        <v>125</v>
      </c>
      <c r="C66" s="36" t="b">
        <f>C64=C51</f>
        <v>1</v>
      </c>
      <c r="D66" s="36" t="b">
        <f t="shared" ref="D66:L66" si="19">D64=D51</f>
        <v>1</v>
      </c>
      <c r="E66" s="36" t="b">
        <f t="shared" si="19"/>
        <v>1</v>
      </c>
      <c r="F66" s="36" t="b">
        <f t="shared" si="19"/>
        <v>1</v>
      </c>
      <c r="G66" s="36" t="b">
        <f t="shared" si="19"/>
        <v>1</v>
      </c>
      <c r="H66" s="36" t="b">
        <f t="shared" si="19"/>
        <v>1</v>
      </c>
      <c r="I66" s="36" t="b">
        <f t="shared" si="19"/>
        <v>1</v>
      </c>
      <c r="J66" s="36" t="b">
        <f t="shared" si="19"/>
        <v>1</v>
      </c>
      <c r="K66" s="36" t="b">
        <f t="shared" si="19"/>
        <v>1</v>
      </c>
      <c r="L66" s="36" t="b">
        <f t="shared" si="19"/>
        <v>1</v>
      </c>
    </row>
    <row r="68" spans="1:13" x14ac:dyDescent="0.35">
      <c r="A68" t="s">
        <v>95</v>
      </c>
      <c r="B68" s="33" t="s">
        <v>126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70" spans="1:13" x14ac:dyDescent="0.35">
      <c r="B70" t="s">
        <v>148</v>
      </c>
      <c r="C70" s="35">
        <f>IFERROR('Data Sheet'!B82,0)</f>
        <v>17281.59</v>
      </c>
      <c r="D70" s="35">
        <f>IFERROR('Data Sheet'!C82,0)</f>
        <v>17214.38</v>
      </c>
      <c r="E70" s="35">
        <f>IFERROR('Data Sheet'!D82,0)</f>
        <v>-62871.54</v>
      </c>
      <c r="F70" s="35">
        <f>IFERROR('Data Sheet'!E82,0)</f>
        <v>-16869.09</v>
      </c>
      <c r="G70" s="35">
        <f>IFERROR('Data Sheet'!F82,0)</f>
        <v>42476.45</v>
      </c>
      <c r="H70" s="35">
        <f>IFERROR('Data Sheet'!G82,0)</f>
        <v>-11959.57</v>
      </c>
      <c r="I70" s="35">
        <f>IFERROR('Data Sheet'!H82,0)</f>
        <v>20813.7</v>
      </c>
      <c r="J70" s="35">
        <f>IFERROR('Data Sheet'!I82,0)</f>
        <v>19069.34</v>
      </c>
      <c r="K70" s="35">
        <f>IFERROR('Data Sheet'!J82,0)</f>
        <v>127241.84</v>
      </c>
      <c r="L70" s="35">
        <f>IFERROR('Data Sheet'!K82,0)</f>
        <v>113506.38</v>
      </c>
      <c r="M70" s="35"/>
    </row>
    <row r="71" spans="1:13" x14ac:dyDescent="0.35">
      <c r="M71" s="35"/>
    </row>
    <row r="72" spans="1:13" x14ac:dyDescent="0.35">
      <c r="B72" t="s">
        <v>149</v>
      </c>
      <c r="C72" s="35">
        <f>IFERROR('Data Sheet'!B83,0)</f>
        <v>-1146.3800000000001</v>
      </c>
      <c r="D72" s="35">
        <f>IFERROR('Data Sheet'!C83,0)</f>
        <v>-841.6</v>
      </c>
      <c r="E72" s="35">
        <f>IFERROR('Data Sheet'!D83,0)</f>
        <v>-1503.06</v>
      </c>
      <c r="F72" s="35">
        <f>IFERROR('Data Sheet'!E83,0)</f>
        <v>-1402.94</v>
      </c>
      <c r="G72" s="35">
        <f>IFERROR('Data Sheet'!F83,0)</f>
        <v>-1822.7</v>
      </c>
      <c r="H72" s="35">
        <f>IFERROR('Data Sheet'!G83,0)</f>
        <v>-2051.23</v>
      </c>
      <c r="I72" s="35">
        <f>IFERROR('Data Sheet'!H83,0)</f>
        <v>-2992.18</v>
      </c>
      <c r="J72" s="35">
        <f>IFERROR('Data Sheet'!I83,0)</f>
        <v>16600.419999999998</v>
      </c>
      <c r="K72" s="35">
        <f>IFERROR('Data Sheet'!J83,0)</f>
        <v>-3650.91</v>
      </c>
      <c r="L72" s="35">
        <f>IFERROR('Data Sheet'!K83,0)</f>
        <v>6362.72</v>
      </c>
      <c r="M72" s="35"/>
    </row>
    <row r="73" spans="1:13" x14ac:dyDescent="0.35">
      <c r="M73" s="35"/>
    </row>
    <row r="74" spans="1:13" x14ac:dyDescent="0.35">
      <c r="B74" t="s">
        <v>150</v>
      </c>
      <c r="C74" s="35">
        <f>IFERROR('Data Sheet'!B84,0)</f>
        <v>-5892.97</v>
      </c>
      <c r="D74" s="35">
        <f>IFERROR('Data Sheet'!C84,0)</f>
        <v>57377.66</v>
      </c>
      <c r="E74" s="35">
        <f>IFERROR('Data Sheet'!D84,0)</f>
        <v>23130.69</v>
      </c>
      <c r="F74" s="35">
        <f>IFERROR('Data Sheet'!E84,0)</f>
        <v>24394.5</v>
      </c>
      <c r="G74" s="35">
        <f>IFERROR('Data Sheet'!F84,0)</f>
        <v>-7321.35</v>
      </c>
      <c r="H74" s="35">
        <f>IFERROR('Data Sheet'!G84,0)</f>
        <v>48124.02</v>
      </c>
      <c r="I74" s="35">
        <f>IFERROR('Data Sheet'!H84,0)</f>
        <v>23940.560000000001</v>
      </c>
      <c r="J74" s="35">
        <f>IFERROR('Data Sheet'!I84,0)</f>
        <v>-3983.06</v>
      </c>
      <c r="K74" s="35">
        <f>IFERROR('Data Sheet'!J84,0)</f>
        <v>-102477.54</v>
      </c>
      <c r="L74" s="35">
        <f>IFERROR('Data Sheet'!K84,0)</f>
        <v>-59004.85</v>
      </c>
      <c r="M74" s="35"/>
    </row>
    <row r="75" spans="1:13" x14ac:dyDescent="0.35">
      <c r="M75" s="35"/>
    </row>
    <row r="76" spans="1:13" x14ac:dyDescent="0.35">
      <c r="B76" s="2" t="s">
        <v>151</v>
      </c>
      <c r="C76" s="38">
        <f>IFERROR(C70+C72+C74,0)</f>
        <v>10242.239999999998</v>
      </c>
      <c r="D76" s="38">
        <f t="shared" ref="D76:L76" si="20">IFERROR(D70+D72+D74,0)</f>
        <v>73750.44</v>
      </c>
      <c r="E76" s="38">
        <f t="shared" si="20"/>
        <v>-41243.910000000003</v>
      </c>
      <c r="F76" s="38">
        <f t="shared" si="20"/>
        <v>6122.4700000000012</v>
      </c>
      <c r="G76" s="38">
        <f t="shared" si="20"/>
        <v>33332.400000000001</v>
      </c>
      <c r="H76" s="38">
        <f t="shared" si="20"/>
        <v>34113.22</v>
      </c>
      <c r="I76" s="38">
        <f t="shared" si="20"/>
        <v>41762.080000000002</v>
      </c>
      <c r="J76" s="38">
        <f t="shared" si="20"/>
        <v>31686.699999999993</v>
      </c>
      <c r="K76" s="38">
        <f t="shared" si="20"/>
        <v>21113.39</v>
      </c>
      <c r="L76" s="38">
        <f t="shared" si="20"/>
        <v>60864.250000000007</v>
      </c>
      <c r="M76" s="35"/>
    </row>
    <row r="77" spans="1:13" x14ac:dyDescent="0.35">
      <c r="M77" s="35"/>
    </row>
  </sheetData>
  <mergeCells count="1">
    <mergeCell ref="B2:M2"/>
  </mergeCells>
  <pageMargins left="0.7" right="0.7" top="0.75" bottom="0.75" header="0.3" footer="0.3"/>
  <ignoredErrors>
    <ignoredError sqref="C15 D15:L15 M6 M18 M21 M24 M9 M30 C9:L9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5AF3-56FE-4465-8F5B-0EB2EAC8F083}">
  <dimension ref="B2:O14"/>
  <sheetViews>
    <sheetView showGridLines="0" tabSelected="1" zoomScaleNormal="100" workbookViewId="0">
      <selection activeCell="F21" sqref="F21"/>
    </sheetView>
  </sheetViews>
  <sheetFormatPr defaultRowHeight="14.5" x14ac:dyDescent="0.35"/>
  <cols>
    <col min="1" max="1" width="1.81640625" customWidth="1"/>
    <col min="2" max="2" width="22.6328125" customWidth="1"/>
    <col min="3" max="3" width="8.7265625" customWidth="1"/>
    <col min="13" max="13" width="15.36328125" customWidth="1"/>
    <col min="15" max="15" width="11.08984375" customWidth="1"/>
  </cols>
  <sheetData>
    <row r="2" spans="2:15" x14ac:dyDescent="0.35">
      <c r="B2" s="59" t="str">
        <f>"Ratio Analysis"&amp;" - "&amp;'Data Sheet'!B1</f>
        <v>Ratio Analysis - HDFC BANK LTD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2:15" x14ac:dyDescent="0.35">
      <c r="B3" s="59" t="s">
        <v>93</v>
      </c>
      <c r="C3" s="61">
        <f>HistoricalFS!C3</f>
        <v>42825</v>
      </c>
      <c r="D3" s="61">
        <f>HistoricalFS!D3</f>
        <v>43190</v>
      </c>
      <c r="E3" s="61">
        <f>HistoricalFS!E3</f>
        <v>43555</v>
      </c>
      <c r="F3" s="61">
        <f>HistoricalFS!F3</f>
        <v>43921</v>
      </c>
      <c r="G3" s="61">
        <f>HistoricalFS!G3</f>
        <v>44286</v>
      </c>
      <c r="H3" s="61">
        <f>HistoricalFS!H3</f>
        <v>44651</v>
      </c>
      <c r="I3" s="61">
        <f>HistoricalFS!I3</f>
        <v>45016</v>
      </c>
      <c r="J3" s="61">
        <f>HistoricalFS!J3</f>
        <v>45382</v>
      </c>
      <c r="K3" s="61">
        <f>HistoricalFS!K3</f>
        <v>45747</v>
      </c>
      <c r="L3" s="61">
        <f>HistoricalFS!L3</f>
        <v>46112</v>
      </c>
      <c r="M3" s="108" t="s">
        <v>245</v>
      </c>
      <c r="N3" s="77" t="s">
        <v>246</v>
      </c>
      <c r="O3" s="77" t="s">
        <v>247</v>
      </c>
    </row>
    <row r="5" spans="2:15" x14ac:dyDescent="0.35">
      <c r="B5" s="41" t="s">
        <v>188</v>
      </c>
      <c r="C5" s="41"/>
      <c r="D5" s="80">
        <f>HistoricalFS!D33/HistoricalFS!C33-1</f>
        <v>0.21195049249584508</v>
      </c>
      <c r="E5" s="80">
        <f>HistoricalFS!E33/HistoricalFS!D33-1</f>
        <v>0.20929925585264497</v>
      </c>
      <c r="F5" s="80">
        <f>HistoricalFS!F33/HistoricalFS!E33-1</f>
        <v>0.21610729225002112</v>
      </c>
      <c r="G5" s="80">
        <f>HistoricalFS!G33/HistoricalFS!F33-1</f>
        <v>0.16707410939296841</v>
      </c>
      <c r="H5" s="80">
        <f>HistoricalFS!H33/HistoricalFS!G33-1</f>
        <v>0.19757589987936597</v>
      </c>
      <c r="I5" s="80">
        <f>HistoricalFS!I33/HistoricalFS!H33-1</f>
        <v>0.20963594567887012</v>
      </c>
      <c r="J5" s="80">
        <f>HistoricalFS!J33/HistoricalFS!I33-1</f>
        <v>0.4181656254672399</v>
      </c>
      <c r="K5" s="80">
        <f>HistoricalFS!K33/HistoricalFS!J33-1</f>
        <v>0.12214052699533196</v>
      </c>
      <c r="L5" s="80">
        <f>HistoricalFS!L33/HistoricalFS!K33-1</f>
        <v>7.869385378601379E-2</v>
      </c>
      <c r="M5" s="41"/>
      <c r="N5" s="82">
        <f>AVERAGE(D5:L5)</f>
        <v>0.20340477797758905</v>
      </c>
      <c r="O5" s="82">
        <f>MEDIAN(D5:L5)</f>
        <v>0.20929925585264497</v>
      </c>
    </row>
    <row r="6" spans="2:15" x14ac:dyDescent="0.35">
      <c r="B6" t="s">
        <v>189</v>
      </c>
      <c r="D6" s="79">
        <f>(SUM(HistoricalFS!D47:D48))/(SUM(HistoricalFS!C47:C48))-1</f>
        <v>0.19396899250985511</v>
      </c>
      <c r="E6" s="79">
        <f>(SUM(HistoricalFS!E47:E48))/(SUM(HistoricalFS!D47:D48))-1</f>
        <v>0.40213394029678873</v>
      </c>
      <c r="F6" s="79">
        <f>(SUM(HistoricalFS!F47:F48))/(SUM(HistoricalFS!E47:E48))-1</f>
        <v>0.14762580409553649</v>
      </c>
      <c r="G6" s="79">
        <f>(SUM(HistoricalFS!G47:G48))/(SUM(HistoricalFS!F47:F48))-1</f>
        <v>0.18967858179502439</v>
      </c>
      <c r="H6" s="79">
        <f>(SUM(HistoricalFS!H47:H48))/(SUM(HistoricalFS!G47:G48))-1</f>
        <v>0.17880919791403826</v>
      </c>
      <c r="I6" s="79">
        <f>(SUM(HistoricalFS!I47:I48))/(SUM(HistoricalFS!H47:H48))-1</f>
        <v>0.17026637334819861</v>
      </c>
      <c r="J6" s="79">
        <f>(SUM(HistoricalFS!J47:J48))/(SUM(HistoricalFS!I47:I48))-1</f>
        <v>0.57683524076873249</v>
      </c>
      <c r="K6" s="79">
        <f>(SUM(HistoricalFS!K47:K48))/(SUM(HistoricalFS!J47:J48))-1</f>
        <v>0.14328400657105855</v>
      </c>
      <c r="L6" s="79">
        <f>(SUM(HistoricalFS!L47:L48))/(SUM(HistoricalFS!K47:K48))-1</f>
        <v>0.11446183296291257</v>
      </c>
      <c r="N6" s="5">
        <f t="shared" ref="N6:N14" si="0">AVERAGE(D6:L6)</f>
        <v>0.23522933002912724</v>
      </c>
      <c r="O6" s="5">
        <f t="shared" ref="O6:O14" si="1">MEDIAN(D6:L6)</f>
        <v>0.17880919791403826</v>
      </c>
    </row>
    <row r="7" spans="2:15" x14ac:dyDescent="0.35">
      <c r="B7" s="42" t="s">
        <v>152</v>
      </c>
      <c r="C7" s="42"/>
      <c r="D7" s="81">
        <f>HistoricalFS!D41/HistoricalFS!C41-1</f>
        <v>0.18182027813253865</v>
      </c>
      <c r="E7" s="81">
        <f>HistoricalFS!E41/HistoricalFS!D41-1</f>
        <v>0.15384615384615374</v>
      </c>
      <c r="F7" s="81">
        <f>HistoricalFS!F41/HistoricalFS!E41-1</f>
        <v>-0.66666788247952879</v>
      </c>
      <c r="G7" s="81">
        <f>HistoricalFS!G41/HistoricalFS!F41-1</f>
        <v>1.6000094833749148</v>
      </c>
      <c r="H7" s="81">
        <f>HistoricalFS!H41/HistoricalFS!G41-1</f>
        <v>1.3845924972413779</v>
      </c>
      <c r="I7" s="81">
        <f>HistoricalFS!I41/HistoricalFS!H41-1</f>
        <v>0.22580723240527045</v>
      </c>
      <c r="J7" s="81">
        <f>HistoricalFS!J41/HistoricalFS!I41-1</f>
        <v>2.6325332750968933E-2</v>
      </c>
      <c r="K7" s="81">
        <f>HistoricalFS!K41/HistoricalFS!J41-1</f>
        <v>0.12820474741392585</v>
      </c>
      <c r="L7" s="81">
        <f>HistoricalFS!L41/HistoricalFS!K41-1</f>
        <v>0.40909090909090917</v>
      </c>
      <c r="M7" s="42"/>
      <c r="N7" s="83">
        <f t="shared" si="0"/>
        <v>0.38255875019739233</v>
      </c>
      <c r="O7" s="83">
        <f t="shared" si="1"/>
        <v>0.18182027813253865</v>
      </c>
    </row>
    <row r="9" spans="2:15" x14ac:dyDescent="0.35">
      <c r="B9" s="41" t="s">
        <v>153</v>
      </c>
      <c r="C9" s="80">
        <f>HistoricalFS!C33/(SUM(HistoricalFS!C47:C48))</f>
        <v>0.16683942678139466</v>
      </c>
      <c r="D9" s="80">
        <f>HistoricalFS!D33/(SUM(HistoricalFS!D47:D48))</f>
        <v>0.16935207423635568</v>
      </c>
      <c r="E9" s="80">
        <f>HistoricalFS!E33/(SUM(HistoricalFS!E47:E48))</f>
        <v>0.14606117965290641</v>
      </c>
      <c r="F9" s="80">
        <f>HistoricalFS!F33/(SUM(HistoricalFS!F47:F48))</f>
        <v>0.15477698833247308</v>
      </c>
      <c r="G9" s="80">
        <f>HistoricalFS!G33/(SUM(HistoricalFS!G47:G48))</f>
        <v>0.15183615018108276</v>
      </c>
      <c r="H9" s="80">
        <f>HistoricalFS!H33/(SUM(HistoricalFS!H47:H48))</f>
        <v>0.15425338936029293</v>
      </c>
      <c r="I9" s="80">
        <f>HistoricalFS!I33/(SUM(HistoricalFS!I47:I48))</f>
        <v>0.15944271215720146</v>
      </c>
      <c r="J9" s="80">
        <f>HistoricalFS!J33/(SUM(HistoricalFS!J47:J48))</f>
        <v>0.1433987316914451</v>
      </c>
      <c r="K9" s="80">
        <f>HistoricalFS!K33/(SUM(HistoricalFS!K47:K48))</f>
        <v>0.14074676757992338</v>
      </c>
      <c r="L9" s="80">
        <f>HistoricalFS!L33/(SUM(HistoricalFS!L47:L48))</f>
        <v>0.13622958511291106</v>
      </c>
      <c r="M9" s="41"/>
      <c r="N9" s="82">
        <f t="shared" si="0"/>
        <v>0.15067750870051022</v>
      </c>
      <c r="O9" s="82">
        <f t="shared" si="1"/>
        <v>0.15183615018108276</v>
      </c>
    </row>
    <row r="10" spans="2:15" x14ac:dyDescent="0.35">
      <c r="B10" s="42" t="s">
        <v>244</v>
      </c>
      <c r="C10" s="81">
        <f>HistoricalFS!C33/HistoricalFS!C64</f>
        <v>1.7162492552200936E-2</v>
      </c>
      <c r="D10" s="81">
        <f>HistoricalFS!D33/HistoricalFS!D64</f>
        <v>1.682475769252981E-2</v>
      </c>
      <c r="E10" s="81">
        <f>HistoricalFS!E33/HistoricalFS!E64</f>
        <v>1.736193600196893E-2</v>
      </c>
      <c r="F10" s="81">
        <f>HistoricalFS!F33/HistoricalFS!F64</f>
        <v>1.7267044891082974E-2</v>
      </c>
      <c r="G10" s="81">
        <f>HistoricalFS!G33/HistoricalFS!G64</f>
        <v>1.7703057865366134E-2</v>
      </c>
      <c r="H10" s="81">
        <f>HistoricalFS!H33/HistoricalFS!H64</f>
        <v>1.7970834047949576E-2</v>
      </c>
      <c r="I10" s="81">
        <f>HistoricalFS!I33/HistoricalFS!I64</f>
        <v>1.823747564665271E-2</v>
      </c>
      <c r="J10" s="81">
        <f>HistoricalFS!J33/HistoricalFS!J64</f>
        <v>1.6239043524418104E-2</v>
      </c>
      <c r="K10" s="81">
        <f>HistoricalFS!K33/HistoricalFS!K64</f>
        <v>1.6720932044634228E-2</v>
      </c>
      <c r="L10" s="81">
        <f>HistoricalFS!L33/HistoricalFS!L64</f>
        <v>1.6140749961648646E-2</v>
      </c>
      <c r="M10" s="42"/>
      <c r="N10" s="83">
        <f t="shared" si="0"/>
        <v>1.7162870186250123E-2</v>
      </c>
      <c r="O10" s="83">
        <f t="shared" si="1"/>
        <v>1.7267044891082974E-2</v>
      </c>
    </row>
    <row r="12" spans="2:15" x14ac:dyDescent="0.35">
      <c r="B12" s="41" t="s">
        <v>190</v>
      </c>
      <c r="C12" s="82">
        <f>HistoricalFS!C42</f>
        <v>0.18405665089765813</v>
      </c>
      <c r="D12" s="82">
        <f>HistoricalFS!D42</f>
        <v>0.18176063152314229</v>
      </c>
      <c r="E12" s="82">
        <f>HistoricalFS!E42</f>
        <v>0.181993271735542</v>
      </c>
      <c r="F12" s="82">
        <f>HistoricalFS!F42</f>
        <v>5.0220048380236561E-2</v>
      </c>
      <c r="G12" s="82">
        <f>HistoricalFS!G42</f>
        <v>0.11248221335684691</v>
      </c>
      <c r="H12" s="82">
        <f>HistoricalFS!H42</f>
        <v>0.22530320385626554</v>
      </c>
      <c r="I12" s="82">
        <f>HistoricalFS!I42</f>
        <v>0.22972326414395206</v>
      </c>
      <c r="J12" s="82">
        <f>HistoricalFS!J42</f>
        <v>0.22635221134820041</v>
      </c>
      <c r="K12" s="82">
        <f>HistoricalFS!K42</f>
        <v>0.2292320401763776</v>
      </c>
      <c r="L12" s="82">
        <f>HistoricalFS!L42</f>
        <v>0.30118571876152656</v>
      </c>
      <c r="M12" s="41"/>
      <c r="N12" s="82">
        <f t="shared" si="0"/>
        <v>0.19313917814245443</v>
      </c>
      <c r="O12" s="82">
        <f t="shared" si="1"/>
        <v>0.22530320385626554</v>
      </c>
    </row>
    <row r="13" spans="2:15" x14ac:dyDescent="0.35">
      <c r="B13" t="s">
        <v>191</v>
      </c>
      <c r="C13" s="5">
        <f>1-C12</f>
        <v>0.8159433491023419</v>
      </c>
      <c r="D13" s="5">
        <f t="shared" ref="D13:L13" si="2">1-D12</f>
        <v>0.81823936847685774</v>
      </c>
      <c r="E13" s="5">
        <f t="shared" si="2"/>
        <v>0.81800672826445797</v>
      </c>
      <c r="F13" s="5">
        <f t="shared" si="2"/>
        <v>0.94977995161976347</v>
      </c>
      <c r="G13" s="5">
        <f t="shared" si="2"/>
        <v>0.88751778664315306</v>
      </c>
      <c r="H13" s="5">
        <f t="shared" si="2"/>
        <v>0.77469679614373443</v>
      </c>
      <c r="I13" s="5">
        <f t="shared" si="2"/>
        <v>0.77027673585604794</v>
      </c>
      <c r="J13" s="5">
        <f t="shared" si="2"/>
        <v>0.77364778865179962</v>
      </c>
      <c r="K13" s="5">
        <f t="shared" si="2"/>
        <v>0.77076795982362234</v>
      </c>
      <c r="L13" s="5">
        <f t="shared" si="2"/>
        <v>0.69881428123847344</v>
      </c>
      <c r="N13" s="5">
        <f t="shared" si="0"/>
        <v>0.80686082185754548</v>
      </c>
      <c r="O13" s="5">
        <f t="shared" si="1"/>
        <v>0.77469679614373443</v>
      </c>
    </row>
    <row r="14" spans="2:15" x14ac:dyDescent="0.35">
      <c r="B14" s="42" t="s">
        <v>192</v>
      </c>
      <c r="C14" s="83">
        <f>C9*C13</f>
        <v>0.1361315206503261</v>
      </c>
      <c r="D14" s="83">
        <f t="shared" ref="D14:L14" si="3">D9*D13</f>
        <v>0.1385705342734016</v>
      </c>
      <c r="E14" s="83">
        <f t="shared" si="3"/>
        <v>0.11947902769432119</v>
      </c>
      <c r="F14" s="83">
        <f t="shared" si="3"/>
        <v>0.14700408049026897</v>
      </c>
      <c r="G14" s="83">
        <f t="shared" si="3"/>
        <v>0.13475728394113196</v>
      </c>
      <c r="H14" s="83">
        <f t="shared" si="3"/>
        <v>0.11949960653173095</v>
      </c>
      <c r="I14" s="83">
        <f t="shared" si="3"/>
        <v>0.12281501187648455</v>
      </c>
      <c r="J14" s="83">
        <f t="shared" si="3"/>
        <v>0.11094011166855923</v>
      </c>
      <c r="K14" s="83">
        <f t="shared" si="3"/>
        <v>0.1084830988993471</v>
      </c>
      <c r="L14" s="83">
        <f t="shared" si="3"/>
        <v>9.5199179604094381E-2</v>
      </c>
      <c r="M14" s="42"/>
      <c r="N14" s="83">
        <f t="shared" si="0"/>
        <v>0.12186088166437109</v>
      </c>
      <c r="O14" s="83">
        <f t="shared" si="1"/>
        <v>0.11949960653173095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5C116AF0-4CF8-4DB3-BFA7-16CF9EF83A87}">
          <x14:colorSeries theme="1"/>
          <x14:colorNegative rgb="FFD00000"/>
          <x14:colorAxis rgb="FF000000"/>
          <x14:colorMarkers rgb="FF0033CC"/>
          <x14:colorFirst rgb="FFD00000"/>
          <x14:colorLast rgb="FFD00000"/>
          <x14:colorHigh rgb="FFD00000"/>
          <x14:colorLow rgb="FFD00000"/>
          <x14:sparklines>
            <x14:sparkline>
              <xm:f>'Ratio Analysis'!C5:L5</xm:f>
              <xm:sqref>M5</xm:sqref>
            </x14:sparkline>
            <x14:sparkline>
              <xm:f>'Ratio Analysis'!C6:L6</xm:f>
              <xm:sqref>M6</xm:sqref>
            </x14:sparkline>
            <x14:sparkline>
              <xm:f>'Ratio Analysis'!C7:L7</xm:f>
              <xm:sqref>M7</xm:sqref>
            </x14:sparkline>
            <x14:sparkline>
              <xm:f>'Ratio Analysis'!C8:L8</xm:f>
              <xm:sqref>M8</xm:sqref>
            </x14:sparkline>
            <x14:sparkline>
              <xm:f>'Ratio Analysis'!C9:L9</xm:f>
              <xm:sqref>M9</xm:sqref>
            </x14:sparkline>
            <x14:sparkline>
              <xm:f>'Ratio Analysis'!C10:L10</xm:f>
              <xm:sqref>M10</xm:sqref>
            </x14:sparkline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DED3-F4E9-47B4-89EC-CF27F3ED5FA8}">
  <dimension ref="B2:N68"/>
  <sheetViews>
    <sheetView showGridLines="0" workbookViewId="0">
      <pane ySplit="2" topLeftCell="A27" activePane="bottomLeft" state="frozen"/>
      <selection pane="bottomLeft" activeCell="D70" sqref="D70"/>
    </sheetView>
  </sheetViews>
  <sheetFormatPr defaultRowHeight="14.5" x14ac:dyDescent="0.35"/>
  <cols>
    <col min="1" max="1" width="1.81640625" customWidth="1"/>
    <col min="2" max="2" width="30.1796875" customWidth="1"/>
  </cols>
  <sheetData>
    <row r="2" spans="2:14" x14ac:dyDescent="0.35">
      <c r="B2" s="44" t="s">
        <v>155</v>
      </c>
      <c r="C2" s="45">
        <v>41699</v>
      </c>
      <c r="D2" s="45">
        <v>42064</v>
      </c>
      <c r="E2" s="45">
        <v>42430</v>
      </c>
      <c r="F2" s="45">
        <v>42795</v>
      </c>
      <c r="G2" s="45">
        <v>43160</v>
      </c>
      <c r="H2" s="45">
        <v>43525</v>
      </c>
      <c r="I2" s="45">
        <v>43891</v>
      </c>
      <c r="J2" s="45">
        <v>44256</v>
      </c>
      <c r="K2" s="45">
        <v>44621</v>
      </c>
      <c r="L2" s="45">
        <v>44986</v>
      </c>
      <c r="M2" s="45">
        <v>45352</v>
      </c>
      <c r="N2" s="45">
        <v>45717</v>
      </c>
    </row>
    <row r="4" spans="2:14" x14ac:dyDescent="0.35">
      <c r="B4" s="46" t="s">
        <v>25</v>
      </c>
      <c r="C4" s="47">
        <v>3943</v>
      </c>
      <c r="D4" s="47">
        <v>4646</v>
      </c>
      <c r="E4" s="47">
        <v>6429</v>
      </c>
      <c r="F4" s="47">
        <v>7508</v>
      </c>
      <c r="G4" s="47">
        <v>8314</v>
      </c>
      <c r="H4" s="47">
        <v>9375</v>
      </c>
      <c r="I4" s="47">
        <v>10034</v>
      </c>
      <c r="J4" s="47">
        <v>12710</v>
      </c>
      <c r="K4" s="47">
        <v>13716</v>
      </c>
      <c r="L4" s="47">
        <v>15896</v>
      </c>
      <c r="M4" s="47">
        <v>18632</v>
      </c>
      <c r="N4" s="47">
        <v>19304</v>
      </c>
    </row>
    <row r="5" spans="2:14" x14ac:dyDescent="0.35">
      <c r="B5" s="46" t="s">
        <v>156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2:14" x14ac:dyDescent="0.35">
      <c r="B6" t="s">
        <v>157</v>
      </c>
      <c r="C6" s="47">
        <v>41</v>
      </c>
      <c r="D6" s="47">
        <v>78</v>
      </c>
      <c r="E6" s="47">
        <v>73</v>
      </c>
      <c r="F6" s="47">
        <v>41</v>
      </c>
      <c r="G6" s="47">
        <v>28</v>
      </c>
      <c r="H6" s="47">
        <v>19</v>
      </c>
      <c r="I6" s="47">
        <v>19</v>
      </c>
      <c r="J6" s="47">
        <v>15</v>
      </c>
      <c r="K6" s="47">
        <v>45</v>
      </c>
      <c r="L6" s="47">
        <v>76</v>
      </c>
      <c r="M6" s="47">
        <v>54</v>
      </c>
      <c r="N6" s="47">
        <v>260</v>
      </c>
    </row>
    <row r="7" spans="2:14" x14ac:dyDescent="0.35">
      <c r="B7" t="s">
        <v>158</v>
      </c>
      <c r="C7" s="47">
        <v>199</v>
      </c>
      <c r="D7" s="47">
        <v>332</v>
      </c>
      <c r="E7" s="47">
        <v>231</v>
      </c>
      <c r="F7" s="47">
        <v>504</v>
      </c>
      <c r="G7" s="47">
        <v>492</v>
      </c>
      <c r="H7" s="47">
        <v>597</v>
      </c>
      <c r="I7" s="47">
        <v>321</v>
      </c>
      <c r="J7" s="47">
        <v>326</v>
      </c>
      <c r="K7" s="47">
        <v>731</v>
      </c>
      <c r="L7" s="47">
        <v>896</v>
      </c>
      <c r="M7" s="47">
        <v>1053</v>
      </c>
      <c r="N7" s="47">
        <v>604</v>
      </c>
    </row>
    <row r="8" spans="2:14" x14ac:dyDescent="0.35">
      <c r="B8" t="s">
        <v>159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693</v>
      </c>
      <c r="I8" s="47">
        <v>764</v>
      </c>
      <c r="J8" s="47">
        <v>745</v>
      </c>
      <c r="K8" s="47">
        <v>811</v>
      </c>
      <c r="L8" s="47">
        <v>960</v>
      </c>
      <c r="M8" s="47">
        <v>1367</v>
      </c>
      <c r="N8" s="47">
        <v>1427</v>
      </c>
    </row>
    <row r="9" spans="2:14" x14ac:dyDescent="0.35">
      <c r="B9" t="s">
        <v>160</v>
      </c>
      <c r="C9" s="47">
        <v>9</v>
      </c>
      <c r="D9" s="47">
        <v>8</v>
      </c>
      <c r="E9" s="47">
        <v>20</v>
      </c>
      <c r="F9" s="47">
        <v>15</v>
      </c>
      <c r="G9" s="47">
        <v>13</v>
      </c>
      <c r="H9" s="47">
        <v>11</v>
      </c>
      <c r="I9" s="47">
        <v>15</v>
      </c>
      <c r="J9" s="47">
        <v>8</v>
      </c>
      <c r="K9" s="47">
        <v>0</v>
      </c>
      <c r="L9" s="47">
        <v>0</v>
      </c>
      <c r="M9" s="47">
        <v>0</v>
      </c>
      <c r="N9" s="47">
        <v>0</v>
      </c>
    </row>
    <row r="10" spans="2:14" x14ac:dyDescent="0.35">
      <c r="B10" s="46" t="s">
        <v>161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2:14" x14ac:dyDescent="0.35">
      <c r="B11" t="s">
        <v>162</v>
      </c>
      <c r="C11" s="47">
        <v>246</v>
      </c>
      <c r="D11" s="47">
        <v>264</v>
      </c>
      <c r="E11" s="47">
        <v>384</v>
      </c>
      <c r="F11" s="47">
        <v>375</v>
      </c>
      <c r="G11" s="47">
        <v>328</v>
      </c>
      <c r="H11" s="47">
        <v>361</v>
      </c>
      <c r="I11" s="47">
        <v>404</v>
      </c>
      <c r="J11" s="47">
        <v>423</v>
      </c>
      <c r="K11" s="47">
        <v>388</v>
      </c>
      <c r="L11" s="47">
        <v>454</v>
      </c>
      <c r="M11" s="47">
        <v>695</v>
      </c>
      <c r="N11" s="47">
        <v>659</v>
      </c>
    </row>
    <row r="12" spans="2:14" x14ac:dyDescent="0.35">
      <c r="B12" t="s">
        <v>163</v>
      </c>
      <c r="C12" s="47">
        <v>1746</v>
      </c>
      <c r="D12" s="47">
        <v>1549</v>
      </c>
      <c r="E12" s="47">
        <v>1565</v>
      </c>
      <c r="F12" s="47">
        <v>1923</v>
      </c>
      <c r="G12" s="47">
        <v>2160</v>
      </c>
      <c r="H12" s="47">
        <v>2394</v>
      </c>
      <c r="I12" s="47">
        <v>2137</v>
      </c>
      <c r="J12" s="47">
        <v>3379</v>
      </c>
      <c r="K12" s="47">
        <v>4164</v>
      </c>
      <c r="L12" s="47">
        <v>3635</v>
      </c>
      <c r="M12" s="47">
        <v>3831</v>
      </c>
      <c r="N12" s="47">
        <v>3848</v>
      </c>
    </row>
    <row r="13" spans="2:14" x14ac:dyDescent="0.35">
      <c r="B13" t="s">
        <v>164</v>
      </c>
      <c r="C13" s="47">
        <v>0</v>
      </c>
      <c r="D13" s="47">
        <v>5</v>
      </c>
      <c r="E13" s="47">
        <v>12</v>
      </c>
      <c r="F13" s="47">
        <v>17</v>
      </c>
      <c r="G13" s="47">
        <v>16</v>
      </c>
      <c r="H13" s="47">
        <v>13</v>
      </c>
      <c r="I13" s="47">
        <v>29</v>
      </c>
      <c r="J13" s="47">
        <v>41</v>
      </c>
      <c r="K13" s="47">
        <v>76</v>
      </c>
      <c r="L13" s="47">
        <v>108</v>
      </c>
      <c r="M13" s="47">
        <v>154</v>
      </c>
      <c r="N13" s="47">
        <v>173</v>
      </c>
    </row>
    <row r="14" spans="2:14" x14ac:dyDescent="0.35">
      <c r="B14" t="s">
        <v>165</v>
      </c>
      <c r="C14" s="49">
        <v>1795</v>
      </c>
      <c r="D14" s="49">
        <v>1937</v>
      </c>
      <c r="E14" s="49">
        <v>1750</v>
      </c>
      <c r="F14" s="49">
        <v>1925</v>
      </c>
      <c r="G14" s="49">
        <v>2316</v>
      </c>
      <c r="H14" s="49">
        <v>2690</v>
      </c>
      <c r="I14" s="49">
        <v>2320</v>
      </c>
      <c r="J14" s="49">
        <v>2613</v>
      </c>
      <c r="K14" s="49">
        <v>2932</v>
      </c>
      <c r="L14" s="49">
        <v>3657</v>
      </c>
      <c r="M14" s="49">
        <v>4017</v>
      </c>
      <c r="N14" s="49">
        <v>3985</v>
      </c>
    </row>
    <row r="15" spans="2:14" x14ac:dyDescent="0.35">
      <c r="B15" s="50" t="s">
        <v>120</v>
      </c>
      <c r="C15" s="51">
        <v>8075</v>
      </c>
      <c r="D15" s="51">
        <v>8914</v>
      </c>
      <c r="E15" s="51">
        <v>10559</v>
      </c>
      <c r="F15" s="51">
        <v>12405</v>
      </c>
      <c r="G15" s="51">
        <v>13763</v>
      </c>
      <c r="H15" s="51">
        <v>16249</v>
      </c>
      <c r="I15" s="51">
        <v>16138</v>
      </c>
      <c r="J15" s="51">
        <v>20355</v>
      </c>
      <c r="K15" s="51">
        <v>22958</v>
      </c>
      <c r="L15" s="51">
        <v>25779</v>
      </c>
      <c r="M15" s="51">
        <v>29901</v>
      </c>
      <c r="N15" s="51">
        <v>30355</v>
      </c>
    </row>
    <row r="16" spans="2:14" x14ac:dyDescent="0.35">
      <c r="B16" s="46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</row>
    <row r="17" spans="2:14" x14ac:dyDescent="0.35">
      <c r="B17" s="46" t="s">
        <v>166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spans="2:14" x14ac:dyDescent="0.35">
      <c r="B18" t="s">
        <v>167</v>
      </c>
      <c r="C18" s="47">
        <v>247</v>
      </c>
      <c r="D18" s="47">
        <v>251</v>
      </c>
      <c r="E18" s="47">
        <v>429</v>
      </c>
      <c r="F18" s="47">
        <v>408</v>
      </c>
      <c r="G18" s="47">
        <v>586</v>
      </c>
      <c r="H18" s="47">
        <v>605</v>
      </c>
      <c r="I18" s="47">
        <v>644</v>
      </c>
      <c r="J18" s="47">
        <v>644</v>
      </c>
      <c r="K18" s="47">
        <v>644</v>
      </c>
      <c r="L18" s="47">
        <v>804</v>
      </c>
      <c r="M18" s="47">
        <v>1126</v>
      </c>
      <c r="N18" s="47">
        <v>1050</v>
      </c>
    </row>
    <row r="19" spans="2:14" x14ac:dyDescent="0.35">
      <c r="B19" t="s">
        <v>168</v>
      </c>
      <c r="C19" s="47">
        <v>931</v>
      </c>
      <c r="D19" s="47">
        <v>962</v>
      </c>
      <c r="E19" s="47">
        <v>923</v>
      </c>
      <c r="F19" s="47">
        <v>931</v>
      </c>
      <c r="G19" s="47">
        <v>957</v>
      </c>
      <c r="H19" s="47">
        <v>2402</v>
      </c>
      <c r="I19" s="47">
        <v>2460</v>
      </c>
      <c r="J19" s="47">
        <v>2249</v>
      </c>
      <c r="K19" s="47">
        <v>2325</v>
      </c>
      <c r="L19" s="47">
        <v>2883</v>
      </c>
      <c r="M19" s="47">
        <v>3390</v>
      </c>
      <c r="N19" s="47">
        <v>4136</v>
      </c>
    </row>
    <row r="20" spans="2:14" x14ac:dyDescent="0.35">
      <c r="B20" t="s">
        <v>169</v>
      </c>
      <c r="C20" s="47">
        <v>2054</v>
      </c>
      <c r="D20" s="47">
        <v>2132</v>
      </c>
      <c r="E20" s="47">
        <v>1793</v>
      </c>
      <c r="F20" s="47">
        <v>1980</v>
      </c>
      <c r="G20" s="47">
        <v>2157</v>
      </c>
      <c r="H20" s="47">
        <v>4006</v>
      </c>
      <c r="I20" s="47">
        <v>4208</v>
      </c>
      <c r="J20" s="47">
        <v>4340</v>
      </c>
      <c r="K20" s="47">
        <v>4531</v>
      </c>
      <c r="L20" s="47">
        <v>4825</v>
      </c>
      <c r="M20" s="47">
        <v>5422</v>
      </c>
      <c r="N20" s="47">
        <v>7576</v>
      </c>
    </row>
    <row r="21" spans="2:14" x14ac:dyDescent="0.35">
      <c r="B21" t="s">
        <v>170</v>
      </c>
      <c r="C21" s="47">
        <v>155</v>
      </c>
      <c r="D21" s="47">
        <v>171</v>
      </c>
      <c r="E21" s="47">
        <v>97</v>
      </c>
      <c r="F21" s="47">
        <v>119</v>
      </c>
      <c r="G21" s="47">
        <v>200</v>
      </c>
      <c r="H21" s="47">
        <v>221</v>
      </c>
      <c r="I21" s="47">
        <v>241</v>
      </c>
      <c r="J21" s="47">
        <v>243</v>
      </c>
      <c r="K21" s="47">
        <v>253</v>
      </c>
      <c r="L21" s="47">
        <v>270</v>
      </c>
      <c r="M21" s="47">
        <v>298</v>
      </c>
      <c r="N21" s="47">
        <v>325</v>
      </c>
    </row>
    <row r="22" spans="2:14" x14ac:dyDescent="0.35">
      <c r="B22" t="s">
        <v>171</v>
      </c>
      <c r="C22" s="47">
        <v>71</v>
      </c>
      <c r="D22" s="47">
        <v>83</v>
      </c>
      <c r="E22" s="47">
        <v>49</v>
      </c>
      <c r="F22" s="47">
        <v>59</v>
      </c>
      <c r="G22" s="47">
        <v>72</v>
      </c>
      <c r="H22" s="47">
        <v>88</v>
      </c>
      <c r="I22" s="47">
        <v>94</v>
      </c>
      <c r="J22" s="47">
        <v>99</v>
      </c>
      <c r="K22" s="47">
        <v>113</v>
      </c>
      <c r="L22" s="47">
        <v>146</v>
      </c>
      <c r="M22" s="47">
        <v>175</v>
      </c>
      <c r="N22" s="47">
        <v>203</v>
      </c>
    </row>
    <row r="23" spans="2:14" x14ac:dyDescent="0.35">
      <c r="B23" t="s">
        <v>172</v>
      </c>
      <c r="C23" s="47">
        <v>14</v>
      </c>
      <c r="D23" s="47">
        <v>18</v>
      </c>
      <c r="E23" s="47">
        <v>11</v>
      </c>
      <c r="F23" s="47">
        <v>14</v>
      </c>
      <c r="G23" s="47">
        <v>27</v>
      </c>
      <c r="H23" s="47">
        <v>47</v>
      </c>
      <c r="I23" s="47">
        <v>50</v>
      </c>
      <c r="J23" s="47">
        <v>38</v>
      </c>
      <c r="K23" s="47">
        <v>32</v>
      </c>
      <c r="L23" s="47">
        <v>36</v>
      </c>
      <c r="M23" s="47">
        <v>40</v>
      </c>
      <c r="N23" s="47">
        <v>39</v>
      </c>
    </row>
    <row r="24" spans="2:14" x14ac:dyDescent="0.35">
      <c r="B24" t="s">
        <v>173</v>
      </c>
      <c r="C24" s="47">
        <v>203</v>
      </c>
      <c r="D24" s="47">
        <v>351</v>
      </c>
      <c r="E24" s="47">
        <v>339</v>
      </c>
      <c r="F24" s="47">
        <v>276</v>
      </c>
      <c r="G24" s="47">
        <v>468</v>
      </c>
      <c r="H24" s="47">
        <v>512</v>
      </c>
      <c r="I24" s="47">
        <v>505</v>
      </c>
      <c r="J24" s="47">
        <v>476</v>
      </c>
      <c r="K24" s="47">
        <v>345</v>
      </c>
      <c r="L24" s="47">
        <v>422</v>
      </c>
      <c r="M24" s="47">
        <v>850</v>
      </c>
      <c r="N24" s="47">
        <v>827</v>
      </c>
    </row>
    <row r="25" spans="2:14" x14ac:dyDescent="0.35">
      <c r="B25" t="s">
        <v>174</v>
      </c>
      <c r="C25" s="47">
        <v>128</v>
      </c>
      <c r="D25" s="47">
        <v>145</v>
      </c>
      <c r="E25" s="47">
        <v>103</v>
      </c>
      <c r="F25" s="47">
        <v>128</v>
      </c>
      <c r="G25" s="47">
        <v>238</v>
      </c>
      <c r="H25" s="47">
        <v>261</v>
      </c>
      <c r="I25" s="47">
        <v>293</v>
      </c>
      <c r="J25" s="47">
        <v>302</v>
      </c>
      <c r="K25" s="47">
        <v>294</v>
      </c>
      <c r="L25" s="47">
        <v>289</v>
      </c>
      <c r="M25" s="47">
        <v>321</v>
      </c>
      <c r="N25" s="47">
        <v>328</v>
      </c>
    </row>
    <row r="26" spans="2:14" x14ac:dyDescent="0.35">
      <c r="B26" s="46" t="s">
        <v>175</v>
      </c>
      <c r="C26" s="53">
        <v>3804</v>
      </c>
      <c r="D26" s="53">
        <v>4112</v>
      </c>
      <c r="E26" s="53">
        <v>3744</v>
      </c>
      <c r="F26" s="53">
        <v>3914</v>
      </c>
      <c r="G26" s="53">
        <v>4705</v>
      </c>
      <c r="H26" s="53">
        <v>8141</v>
      </c>
      <c r="I26" s="53">
        <v>8495</v>
      </c>
      <c r="J26" s="53">
        <v>8392</v>
      </c>
      <c r="K26" s="53">
        <v>8538</v>
      </c>
      <c r="L26" s="53">
        <v>9676</v>
      </c>
      <c r="M26" s="53">
        <v>11622</v>
      </c>
      <c r="N26" s="53">
        <v>14484</v>
      </c>
    </row>
    <row r="27" spans="2:14" x14ac:dyDescent="0.35">
      <c r="B27" s="46" t="s">
        <v>176</v>
      </c>
      <c r="C27" s="49">
        <v>1242</v>
      </c>
      <c r="D27" s="49">
        <v>1452</v>
      </c>
      <c r="E27" s="49">
        <v>327</v>
      </c>
      <c r="F27" s="49">
        <v>610</v>
      </c>
      <c r="G27" s="49">
        <v>973</v>
      </c>
      <c r="H27" s="49">
        <v>1644</v>
      </c>
      <c r="I27" s="49">
        <v>2223</v>
      </c>
      <c r="J27" s="49">
        <v>2533</v>
      </c>
      <c r="K27" s="49">
        <v>3019</v>
      </c>
      <c r="L27" s="49">
        <v>3905</v>
      </c>
      <c r="M27" s="49">
        <v>4475</v>
      </c>
      <c r="N27" s="49">
        <v>5264</v>
      </c>
    </row>
    <row r="28" spans="2:14" x14ac:dyDescent="0.35">
      <c r="B28" s="54" t="s">
        <v>27</v>
      </c>
      <c r="C28" s="55">
        <f>SUM(C26:C27)</f>
        <v>5046</v>
      </c>
      <c r="D28" s="55">
        <f t="shared" ref="D28:N28" si="0">SUM(D26:D27)</f>
        <v>5564</v>
      </c>
      <c r="E28" s="55">
        <f t="shared" si="0"/>
        <v>4071</v>
      </c>
      <c r="F28" s="55">
        <f t="shared" si="0"/>
        <v>4524</v>
      </c>
      <c r="G28" s="55">
        <f t="shared" si="0"/>
        <v>5678</v>
      </c>
      <c r="H28" s="55">
        <f t="shared" si="0"/>
        <v>9785</v>
      </c>
      <c r="I28" s="55">
        <f t="shared" si="0"/>
        <v>10718</v>
      </c>
      <c r="J28" s="55">
        <f t="shared" si="0"/>
        <v>10925</v>
      </c>
      <c r="K28" s="55">
        <f t="shared" si="0"/>
        <v>11557</v>
      </c>
      <c r="L28" s="55">
        <f t="shared" si="0"/>
        <v>13581</v>
      </c>
      <c r="M28" s="55">
        <f t="shared" si="0"/>
        <v>16097</v>
      </c>
      <c r="N28" s="55">
        <f t="shared" si="0"/>
        <v>19748</v>
      </c>
    </row>
    <row r="29" spans="2:14" x14ac:dyDescent="0.35">
      <c r="B29" s="4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</row>
    <row r="30" spans="2:14" x14ac:dyDescent="0.35">
      <c r="B30" s="46" t="s">
        <v>177</v>
      </c>
      <c r="C30" s="47">
        <v>72</v>
      </c>
      <c r="D30" s="47">
        <v>196</v>
      </c>
      <c r="E30" s="47">
        <v>107</v>
      </c>
      <c r="F30" s="47">
        <v>258</v>
      </c>
      <c r="G30" s="47">
        <v>1405</v>
      </c>
      <c r="H30" s="47">
        <v>210</v>
      </c>
      <c r="I30" s="47">
        <v>140</v>
      </c>
      <c r="J30" s="47">
        <v>183</v>
      </c>
      <c r="K30" s="47">
        <v>426</v>
      </c>
      <c r="L30" s="47">
        <v>1020</v>
      </c>
      <c r="M30" s="47">
        <v>2698</v>
      </c>
      <c r="N30" s="47">
        <v>1254</v>
      </c>
    </row>
    <row r="31" spans="2:14" x14ac:dyDescent="0.35">
      <c r="B31" s="46" t="s">
        <v>29</v>
      </c>
      <c r="C31" s="47">
        <v>1424</v>
      </c>
      <c r="D31" s="47">
        <v>1588</v>
      </c>
      <c r="E31" s="47">
        <v>2712</v>
      </c>
      <c r="F31" s="47">
        <v>2652</v>
      </c>
      <c r="G31" s="47">
        <v>2141</v>
      </c>
      <c r="H31" s="47">
        <v>2569</v>
      </c>
      <c r="I31" s="47">
        <v>2019</v>
      </c>
      <c r="J31" s="47">
        <v>4737</v>
      </c>
      <c r="K31" s="47">
        <v>3248</v>
      </c>
      <c r="L31" s="47">
        <v>4262</v>
      </c>
      <c r="M31" s="47">
        <v>4588</v>
      </c>
      <c r="N31" s="47">
        <v>4725</v>
      </c>
    </row>
    <row r="32" spans="2:14" x14ac:dyDescent="0.35">
      <c r="B32" s="46" t="s">
        <v>178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spans="2:14" x14ac:dyDescent="0.35">
      <c r="B33" t="s">
        <v>179</v>
      </c>
      <c r="C33" s="47">
        <v>2070</v>
      </c>
      <c r="D33" s="47">
        <v>2259</v>
      </c>
      <c r="E33" s="47">
        <v>1998</v>
      </c>
      <c r="F33" s="47">
        <v>2627</v>
      </c>
      <c r="G33" s="47">
        <v>2658</v>
      </c>
      <c r="H33" s="47">
        <v>3150</v>
      </c>
      <c r="I33" s="47">
        <v>3390</v>
      </c>
      <c r="J33" s="47">
        <v>3799</v>
      </c>
      <c r="K33" s="47">
        <v>6153</v>
      </c>
      <c r="L33" s="47">
        <v>6211</v>
      </c>
      <c r="M33" s="47">
        <v>5923</v>
      </c>
      <c r="N33" s="47">
        <v>6719</v>
      </c>
    </row>
    <row r="34" spans="2:14" x14ac:dyDescent="0.35">
      <c r="B34" t="s">
        <v>180</v>
      </c>
      <c r="C34" s="47">
        <v>1110</v>
      </c>
      <c r="D34" s="47">
        <v>1182</v>
      </c>
      <c r="E34" s="47">
        <v>1187</v>
      </c>
      <c r="F34" s="47">
        <v>1447</v>
      </c>
      <c r="G34" s="47">
        <v>1731</v>
      </c>
      <c r="H34" s="47">
        <v>1907</v>
      </c>
      <c r="I34" s="47">
        <v>1795</v>
      </c>
      <c r="J34" s="47">
        <v>2602</v>
      </c>
      <c r="K34" s="47">
        <v>3871</v>
      </c>
      <c r="L34" s="47">
        <v>4637</v>
      </c>
      <c r="M34" s="47">
        <v>4889</v>
      </c>
      <c r="N34" s="47">
        <v>4314</v>
      </c>
    </row>
    <row r="35" spans="2:14" x14ac:dyDescent="0.35">
      <c r="B35" t="s">
        <v>181</v>
      </c>
      <c r="C35" s="47">
        <v>229</v>
      </c>
      <c r="D35" s="47">
        <v>204</v>
      </c>
      <c r="E35" s="47">
        <v>424</v>
      </c>
      <c r="F35" s="47">
        <v>801</v>
      </c>
      <c r="G35" s="47">
        <v>405</v>
      </c>
      <c r="H35" s="47">
        <v>445</v>
      </c>
      <c r="I35" s="47">
        <v>783</v>
      </c>
      <c r="J35" s="47">
        <v>611</v>
      </c>
      <c r="K35" s="47">
        <v>864</v>
      </c>
      <c r="L35" s="47">
        <v>844</v>
      </c>
      <c r="M35" s="47">
        <v>1084</v>
      </c>
      <c r="N35" s="47">
        <v>782</v>
      </c>
    </row>
    <row r="36" spans="2:14" x14ac:dyDescent="0.35">
      <c r="B36" t="s">
        <v>182</v>
      </c>
      <c r="C36" s="47">
        <v>7</v>
      </c>
      <c r="D36" s="47">
        <v>8</v>
      </c>
      <c r="E36" s="47">
        <v>9</v>
      </c>
      <c r="F36" s="47">
        <v>14</v>
      </c>
      <c r="G36" s="47">
        <v>13</v>
      </c>
      <c r="H36" s="47">
        <v>16</v>
      </c>
      <c r="I36" s="47">
        <v>12</v>
      </c>
      <c r="J36" s="47">
        <v>12</v>
      </c>
      <c r="K36" s="47">
        <v>8</v>
      </c>
      <c r="L36" s="47">
        <v>12</v>
      </c>
      <c r="M36" s="47">
        <v>17</v>
      </c>
      <c r="N36" s="47">
        <v>22</v>
      </c>
    </row>
    <row r="37" spans="2:14" x14ac:dyDescent="0.35">
      <c r="B37" t="s">
        <v>183</v>
      </c>
      <c r="C37" s="49">
        <v>603</v>
      </c>
      <c r="D37" s="49">
        <v>817</v>
      </c>
      <c r="E37" s="49">
        <v>705</v>
      </c>
      <c r="F37" s="49">
        <v>1303</v>
      </c>
      <c r="G37" s="49">
        <v>1678</v>
      </c>
      <c r="H37" s="49">
        <v>1456</v>
      </c>
      <c r="I37" s="49">
        <v>1727</v>
      </c>
      <c r="J37" s="49">
        <v>2554</v>
      </c>
      <c r="K37" s="49">
        <v>2869</v>
      </c>
      <c r="L37" s="49">
        <v>3024</v>
      </c>
      <c r="M37" s="49">
        <v>3555</v>
      </c>
      <c r="N37" s="49">
        <v>3319</v>
      </c>
    </row>
    <row r="38" spans="2:14" x14ac:dyDescent="0.35">
      <c r="B38" s="57" t="s">
        <v>124</v>
      </c>
      <c r="C38" s="58">
        <v>8075</v>
      </c>
      <c r="D38" s="58">
        <v>8914</v>
      </c>
      <c r="E38" s="58">
        <v>10559</v>
      </c>
      <c r="F38" s="58">
        <v>12405</v>
      </c>
      <c r="G38" s="58">
        <v>13763</v>
      </c>
      <c r="H38" s="58">
        <v>16249</v>
      </c>
      <c r="I38" s="58">
        <v>16138</v>
      </c>
      <c r="J38" s="58">
        <v>20355</v>
      </c>
      <c r="K38" s="58">
        <v>22958</v>
      </c>
      <c r="L38" s="58">
        <v>25779</v>
      </c>
      <c r="M38" s="58">
        <v>29901</v>
      </c>
      <c r="N38" s="58">
        <v>30355</v>
      </c>
    </row>
    <row r="40" spans="2:14" ht="15" thickBot="1" x14ac:dyDescent="0.4">
      <c r="C40" s="63">
        <v>41699</v>
      </c>
      <c r="D40" s="63">
        <v>42064</v>
      </c>
      <c r="E40" s="63">
        <v>42430</v>
      </c>
      <c r="F40" s="63">
        <v>42795</v>
      </c>
      <c r="G40" s="63">
        <v>43160</v>
      </c>
      <c r="H40" s="63">
        <v>43525</v>
      </c>
      <c r="I40" s="63">
        <v>43891</v>
      </c>
      <c r="J40" s="63">
        <v>44256</v>
      </c>
      <c r="K40" s="63">
        <v>44621</v>
      </c>
      <c r="L40" s="63">
        <v>44986</v>
      </c>
      <c r="M40" s="63">
        <v>45352</v>
      </c>
      <c r="N40" s="63">
        <v>45717</v>
      </c>
    </row>
    <row r="41" spans="2:14" ht="15" thickBot="1" x14ac:dyDescent="0.4">
      <c r="B41" s="72" t="s">
        <v>184</v>
      </c>
      <c r="C41" s="64">
        <v>1402</v>
      </c>
      <c r="D41" s="64">
        <v>1188</v>
      </c>
      <c r="E41" s="64">
        <v>2243</v>
      </c>
      <c r="F41" s="64">
        <v>1527</v>
      </c>
      <c r="G41" s="64">
        <v>2113</v>
      </c>
      <c r="H41" s="64">
        <v>2470</v>
      </c>
      <c r="I41" s="64">
        <v>2632</v>
      </c>
      <c r="J41" s="64">
        <v>3683</v>
      </c>
      <c r="K41" s="65">
        <v>986</v>
      </c>
      <c r="L41" s="64">
        <v>4193</v>
      </c>
      <c r="M41" s="64">
        <v>6104</v>
      </c>
      <c r="N41" s="64">
        <v>4424</v>
      </c>
    </row>
    <row r="42" spans="2:14" x14ac:dyDescent="0.35">
      <c r="B42" s="72" t="s">
        <v>127</v>
      </c>
      <c r="C42" s="64">
        <v>2051</v>
      </c>
      <c r="D42" s="64">
        <v>2271</v>
      </c>
      <c r="E42" s="64">
        <v>2848</v>
      </c>
      <c r="F42" s="64">
        <v>3056</v>
      </c>
      <c r="G42" s="64">
        <v>3274</v>
      </c>
      <c r="H42" s="64">
        <v>3861</v>
      </c>
      <c r="I42" s="64">
        <v>4380</v>
      </c>
      <c r="J42" s="64">
        <v>4970</v>
      </c>
      <c r="K42" s="64">
        <v>4957</v>
      </c>
      <c r="L42" s="64">
        <v>6460</v>
      </c>
      <c r="M42" s="64">
        <v>7929</v>
      </c>
      <c r="N42" s="64">
        <v>6390</v>
      </c>
    </row>
    <row r="43" spans="2:14" x14ac:dyDescent="0.35">
      <c r="B43" s="73" t="s">
        <v>78</v>
      </c>
      <c r="C43" s="66">
        <v>-254</v>
      </c>
      <c r="D43" s="66">
        <v>-155</v>
      </c>
      <c r="E43" s="66">
        <v>-146</v>
      </c>
      <c r="F43" s="66">
        <v>-475</v>
      </c>
      <c r="G43" s="66">
        <v>-483</v>
      </c>
      <c r="H43" s="66">
        <v>-205</v>
      </c>
      <c r="I43" s="66">
        <v>160</v>
      </c>
      <c r="J43" s="67">
        <v>-1342</v>
      </c>
      <c r="K43" s="67">
        <v>-1326</v>
      </c>
      <c r="L43" s="66">
        <v>-834</v>
      </c>
      <c r="M43" s="66">
        <v>-362</v>
      </c>
      <c r="N43" s="66">
        <v>282</v>
      </c>
    </row>
    <row r="44" spans="2:14" x14ac:dyDescent="0.35">
      <c r="B44" s="73" t="s">
        <v>45</v>
      </c>
      <c r="C44" s="66">
        <v>-231</v>
      </c>
      <c r="D44" s="66">
        <v>-144</v>
      </c>
      <c r="E44" s="66">
        <v>202</v>
      </c>
      <c r="F44" s="66">
        <v>-629</v>
      </c>
      <c r="G44" s="66">
        <v>-39</v>
      </c>
      <c r="H44" s="66">
        <v>-492</v>
      </c>
      <c r="I44" s="66">
        <v>-251</v>
      </c>
      <c r="J44" s="66">
        <v>-409</v>
      </c>
      <c r="K44" s="67">
        <v>-2354</v>
      </c>
      <c r="L44" s="66">
        <v>-56</v>
      </c>
      <c r="M44" s="66">
        <v>315</v>
      </c>
      <c r="N44" s="66">
        <v>-805</v>
      </c>
    </row>
    <row r="45" spans="2:14" x14ac:dyDescent="0.35">
      <c r="B45" s="73" t="s">
        <v>128</v>
      </c>
      <c r="C45" s="66">
        <v>317</v>
      </c>
      <c r="D45" s="66">
        <v>-151</v>
      </c>
      <c r="E45" s="66">
        <v>142</v>
      </c>
      <c r="F45" s="66">
        <v>501</v>
      </c>
      <c r="G45" s="66">
        <v>442</v>
      </c>
      <c r="H45" s="66">
        <v>287</v>
      </c>
      <c r="I45" s="66">
        <v>-647</v>
      </c>
      <c r="J45" s="67">
        <v>1544</v>
      </c>
      <c r="K45" s="66">
        <v>644</v>
      </c>
      <c r="L45" s="66">
        <v>-539</v>
      </c>
      <c r="M45" s="66">
        <v>269</v>
      </c>
      <c r="N45" s="66">
        <v>-160</v>
      </c>
    </row>
    <row r="46" spans="2:14" ht="15" thickBot="1" x14ac:dyDescent="0.4">
      <c r="B46" s="73" t="s">
        <v>129</v>
      </c>
      <c r="C46" s="66">
        <v>0</v>
      </c>
      <c r="D46" s="66">
        <v>0</v>
      </c>
      <c r="E46" s="66">
        <v>0</v>
      </c>
      <c r="F46" s="66">
        <v>0</v>
      </c>
      <c r="G46" s="66">
        <v>0</v>
      </c>
      <c r="H46" s="66">
        <v>0</v>
      </c>
      <c r="I46" s="66">
        <v>0</v>
      </c>
      <c r="J46" s="66">
        <v>0</v>
      </c>
      <c r="K46" s="66">
        <v>242</v>
      </c>
      <c r="L46" s="66">
        <v>657</v>
      </c>
      <c r="M46" s="66">
        <v>-212</v>
      </c>
      <c r="N46" s="66">
        <v>114</v>
      </c>
    </row>
    <row r="47" spans="2:14" x14ac:dyDescent="0.35">
      <c r="B47" s="72" t="s">
        <v>130</v>
      </c>
      <c r="C47" s="65">
        <v>-168</v>
      </c>
      <c r="D47" s="65">
        <v>-450</v>
      </c>
      <c r="E47" s="65">
        <v>198</v>
      </c>
      <c r="F47" s="65">
        <v>-603</v>
      </c>
      <c r="G47" s="65">
        <v>-80</v>
      </c>
      <c r="H47" s="65">
        <v>-410</v>
      </c>
      <c r="I47" s="65">
        <v>-737</v>
      </c>
      <c r="J47" s="65">
        <v>-206</v>
      </c>
      <c r="K47" s="64">
        <v>-2795</v>
      </c>
      <c r="L47" s="65">
        <v>-772</v>
      </c>
      <c r="M47" s="65">
        <v>10</v>
      </c>
      <c r="N47" s="65">
        <v>-570</v>
      </c>
    </row>
    <row r="48" spans="2:14" ht="15" thickBot="1" x14ac:dyDescent="0.4">
      <c r="B48" s="73" t="s">
        <v>131</v>
      </c>
      <c r="C48" s="66">
        <v>-480</v>
      </c>
      <c r="D48" s="66">
        <v>-633</v>
      </c>
      <c r="E48" s="66">
        <v>-802</v>
      </c>
      <c r="F48" s="66">
        <v>-925</v>
      </c>
      <c r="G48" s="67">
        <v>-1081</v>
      </c>
      <c r="H48" s="66">
        <v>-982</v>
      </c>
      <c r="I48" s="67">
        <v>-1011</v>
      </c>
      <c r="J48" s="67">
        <v>-1080</v>
      </c>
      <c r="K48" s="67">
        <v>-1176</v>
      </c>
      <c r="L48" s="67">
        <v>-1494</v>
      </c>
      <c r="M48" s="67">
        <v>-1835</v>
      </c>
      <c r="N48" s="67">
        <v>-1396</v>
      </c>
    </row>
    <row r="49" spans="2:14" x14ac:dyDescent="0.35">
      <c r="B49" s="74" t="s">
        <v>185</v>
      </c>
      <c r="C49" s="68">
        <v>-586</v>
      </c>
      <c r="D49" s="68">
        <v>-465</v>
      </c>
      <c r="E49" s="68">
        <v>-866</v>
      </c>
      <c r="F49" s="68">
        <v>-681</v>
      </c>
      <c r="G49" s="69">
        <v>-1556</v>
      </c>
      <c r="H49" s="68">
        <v>-918</v>
      </c>
      <c r="I49" s="68">
        <v>-518</v>
      </c>
      <c r="J49" s="68">
        <v>-541</v>
      </c>
      <c r="K49" s="68">
        <v>-317</v>
      </c>
      <c r="L49" s="69">
        <v>-1282</v>
      </c>
      <c r="M49" s="69">
        <v>-2548</v>
      </c>
      <c r="N49" s="68">
        <v>-941</v>
      </c>
    </row>
    <row r="50" spans="2:14" x14ac:dyDescent="0.35">
      <c r="B50" s="75" t="s">
        <v>132</v>
      </c>
      <c r="C50" s="70">
        <v>-251</v>
      </c>
      <c r="D50" s="70">
        <v>-454</v>
      </c>
      <c r="E50" s="70">
        <v>-817</v>
      </c>
      <c r="F50" s="70">
        <v>-684</v>
      </c>
      <c r="G50" s="71">
        <v>-1426</v>
      </c>
      <c r="H50" s="71">
        <v>-1151</v>
      </c>
      <c r="I50" s="70">
        <v>-414</v>
      </c>
      <c r="J50" s="70">
        <v>-289</v>
      </c>
      <c r="K50" s="70">
        <v>-551</v>
      </c>
      <c r="L50" s="71">
        <v>-1446</v>
      </c>
      <c r="M50" s="71">
        <v>-2496</v>
      </c>
      <c r="N50" s="71">
        <v>-1830</v>
      </c>
    </row>
    <row r="51" spans="2:14" x14ac:dyDescent="0.35">
      <c r="B51" s="75" t="s">
        <v>133</v>
      </c>
      <c r="C51" s="70">
        <v>16</v>
      </c>
      <c r="D51" s="70">
        <v>16</v>
      </c>
      <c r="E51" s="70">
        <v>15</v>
      </c>
      <c r="F51" s="70">
        <v>17</v>
      </c>
      <c r="G51" s="70">
        <v>17</v>
      </c>
      <c r="H51" s="70">
        <v>17</v>
      </c>
      <c r="I51" s="70">
        <v>37</v>
      </c>
      <c r="J51" s="70">
        <v>28</v>
      </c>
      <c r="K51" s="70">
        <v>40</v>
      </c>
      <c r="L51" s="70">
        <v>26</v>
      </c>
      <c r="M51" s="70">
        <v>5</v>
      </c>
      <c r="N51" s="70">
        <v>10</v>
      </c>
    </row>
    <row r="52" spans="2:14" x14ac:dyDescent="0.35">
      <c r="B52" s="75" t="s">
        <v>134</v>
      </c>
      <c r="C52" s="70">
        <v>-872</v>
      </c>
      <c r="D52" s="70">
        <v>-243</v>
      </c>
      <c r="E52" s="70">
        <v>-282</v>
      </c>
      <c r="F52" s="70">
        <v>-153</v>
      </c>
      <c r="G52" s="70">
        <v>-320</v>
      </c>
      <c r="H52" s="70">
        <v>-573</v>
      </c>
      <c r="I52" s="70">
        <v>-25</v>
      </c>
      <c r="J52" s="70">
        <v>-140</v>
      </c>
      <c r="K52" s="70">
        <v>0</v>
      </c>
      <c r="L52" s="70">
        <v>-146</v>
      </c>
      <c r="M52" s="70">
        <v>-212</v>
      </c>
      <c r="N52" s="70">
        <v>-1</v>
      </c>
    </row>
    <row r="53" spans="2:14" x14ac:dyDescent="0.35">
      <c r="B53" s="75" t="s">
        <v>135</v>
      </c>
      <c r="C53" s="70">
        <v>463</v>
      </c>
      <c r="D53" s="70">
        <v>278</v>
      </c>
      <c r="E53" s="70">
        <v>205</v>
      </c>
      <c r="F53" s="70">
        <v>357</v>
      </c>
      <c r="G53" s="70">
        <v>362</v>
      </c>
      <c r="H53" s="70">
        <v>733</v>
      </c>
      <c r="I53" s="70">
        <v>118</v>
      </c>
      <c r="J53" s="70">
        <v>272</v>
      </c>
      <c r="K53" s="70">
        <v>207</v>
      </c>
      <c r="L53" s="70">
        <v>446</v>
      </c>
      <c r="M53" s="70">
        <v>240</v>
      </c>
      <c r="N53" s="70">
        <v>421</v>
      </c>
    </row>
    <row r="54" spans="2:14" x14ac:dyDescent="0.35">
      <c r="B54" s="75" t="s">
        <v>136</v>
      </c>
      <c r="C54" s="70">
        <v>14</v>
      </c>
      <c r="D54" s="70">
        <v>11</v>
      </c>
      <c r="E54" s="70">
        <v>15</v>
      </c>
      <c r="F54" s="70">
        <v>32</v>
      </c>
      <c r="G54" s="70">
        <v>39</v>
      </c>
      <c r="H54" s="70">
        <v>40</v>
      </c>
      <c r="I54" s="70">
        <v>65</v>
      </c>
      <c r="J54" s="70">
        <v>73</v>
      </c>
      <c r="K54" s="70">
        <v>77</v>
      </c>
      <c r="L54" s="70">
        <v>87</v>
      </c>
      <c r="M54" s="70">
        <v>135</v>
      </c>
      <c r="N54" s="70">
        <v>155</v>
      </c>
    </row>
    <row r="55" spans="2:14" x14ac:dyDescent="0.35">
      <c r="B55" s="75" t="s">
        <v>137</v>
      </c>
      <c r="C55" s="70">
        <v>65</v>
      </c>
      <c r="D55" s="70">
        <v>71</v>
      </c>
      <c r="E55" s="70">
        <v>69</v>
      </c>
      <c r="F55" s="70">
        <v>74</v>
      </c>
      <c r="G55" s="70">
        <v>38</v>
      </c>
      <c r="H55" s="70">
        <v>40</v>
      </c>
      <c r="I55" s="70">
        <v>27</v>
      </c>
      <c r="J55" s="70">
        <v>8</v>
      </c>
      <c r="K55" s="70">
        <v>15</v>
      </c>
      <c r="L55" s="70">
        <v>56</v>
      </c>
      <c r="M55" s="70">
        <v>129</v>
      </c>
      <c r="N55" s="70">
        <v>136</v>
      </c>
    </row>
    <row r="56" spans="2:14" x14ac:dyDescent="0.35">
      <c r="B56" s="75" t="s">
        <v>138</v>
      </c>
      <c r="C56" s="70">
        <v>0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-180</v>
      </c>
      <c r="M56" s="70">
        <v>0</v>
      </c>
      <c r="N56" s="70">
        <v>0</v>
      </c>
    </row>
    <row r="57" spans="2:14" x14ac:dyDescent="0.35">
      <c r="B57" s="75" t="s">
        <v>186</v>
      </c>
      <c r="C57" s="70">
        <v>0</v>
      </c>
      <c r="D57" s="70">
        <v>0</v>
      </c>
      <c r="E57" s="70">
        <v>0</v>
      </c>
      <c r="F57" s="70">
        <v>0</v>
      </c>
      <c r="G57" s="70">
        <v>141</v>
      </c>
      <c r="H57" s="70">
        <v>0</v>
      </c>
      <c r="I57" s="70">
        <v>17</v>
      </c>
      <c r="J57" s="70">
        <v>0</v>
      </c>
      <c r="K57" s="70">
        <v>0</v>
      </c>
      <c r="L57" s="70">
        <v>0</v>
      </c>
      <c r="M57" s="70">
        <v>0</v>
      </c>
      <c r="N57" s="70">
        <v>38</v>
      </c>
    </row>
    <row r="58" spans="2:14" x14ac:dyDescent="0.35">
      <c r="B58" s="75" t="s">
        <v>139</v>
      </c>
      <c r="C58" s="70">
        <v>0</v>
      </c>
      <c r="D58" s="70">
        <v>0</v>
      </c>
      <c r="E58" s="70">
        <v>0</v>
      </c>
      <c r="F58" s="70">
        <v>0</v>
      </c>
      <c r="G58" s="70">
        <v>-525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</row>
    <row r="59" spans="2:14" ht="15" thickBot="1" x14ac:dyDescent="0.4">
      <c r="B59" s="75" t="s">
        <v>140</v>
      </c>
      <c r="C59" s="70">
        <v>-21</v>
      </c>
      <c r="D59" s="70">
        <v>-144</v>
      </c>
      <c r="E59" s="70">
        <v>-70</v>
      </c>
      <c r="F59" s="70">
        <v>-324</v>
      </c>
      <c r="G59" s="70">
        <v>118</v>
      </c>
      <c r="H59" s="70">
        <v>-24</v>
      </c>
      <c r="I59" s="70">
        <v>-343</v>
      </c>
      <c r="J59" s="70">
        <v>-493</v>
      </c>
      <c r="K59" s="70">
        <v>-105</v>
      </c>
      <c r="L59" s="70">
        <v>-126</v>
      </c>
      <c r="M59" s="70">
        <v>-350</v>
      </c>
      <c r="N59" s="70">
        <v>130</v>
      </c>
    </row>
    <row r="60" spans="2:14" x14ac:dyDescent="0.35">
      <c r="B60" s="72" t="s">
        <v>187</v>
      </c>
      <c r="C60" s="65">
        <v>-626</v>
      </c>
      <c r="D60" s="65">
        <v>-576</v>
      </c>
      <c r="E60" s="65">
        <v>-849</v>
      </c>
      <c r="F60" s="65">
        <v>-756</v>
      </c>
      <c r="G60" s="64">
        <v>-1379</v>
      </c>
      <c r="H60" s="64">
        <v>-1117</v>
      </c>
      <c r="I60" s="64">
        <v>-2465</v>
      </c>
      <c r="J60" s="65">
        <v>-650</v>
      </c>
      <c r="K60" s="64">
        <v>-1808</v>
      </c>
      <c r="L60" s="64">
        <v>-2140</v>
      </c>
      <c r="M60" s="64">
        <v>-2982</v>
      </c>
      <c r="N60" s="64">
        <v>-3753</v>
      </c>
    </row>
    <row r="61" spans="2:14" x14ac:dyDescent="0.35">
      <c r="B61" s="73" t="s">
        <v>141</v>
      </c>
      <c r="C61" s="66">
        <v>0</v>
      </c>
      <c r="D61" s="6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6">
        <v>0</v>
      </c>
      <c r="L61" s="66">
        <v>0</v>
      </c>
      <c r="M61" s="66">
        <v>1</v>
      </c>
      <c r="N61" s="66">
        <v>0</v>
      </c>
    </row>
    <row r="62" spans="2:14" x14ac:dyDescent="0.35">
      <c r="B62" s="73" t="s">
        <v>142</v>
      </c>
      <c r="C62" s="66">
        <v>44</v>
      </c>
      <c r="D62" s="66">
        <v>239</v>
      </c>
      <c r="E62" s="66">
        <v>8</v>
      </c>
      <c r="F62" s="66">
        <v>271</v>
      </c>
      <c r="G62" s="66">
        <v>10</v>
      </c>
      <c r="H62" s="66">
        <v>243</v>
      </c>
      <c r="I62" s="66">
        <v>221</v>
      </c>
      <c r="J62" s="66">
        <v>155</v>
      </c>
      <c r="K62" s="66">
        <v>418</v>
      </c>
      <c r="L62" s="66">
        <v>254</v>
      </c>
      <c r="M62" s="66">
        <v>101</v>
      </c>
      <c r="N62" s="66">
        <v>415</v>
      </c>
    </row>
    <row r="63" spans="2:14" x14ac:dyDescent="0.35">
      <c r="B63" s="73" t="s">
        <v>143</v>
      </c>
      <c r="C63" s="66">
        <v>-81</v>
      </c>
      <c r="D63" s="66">
        <v>-86</v>
      </c>
      <c r="E63" s="66">
        <v>-119</v>
      </c>
      <c r="F63" s="66">
        <v>-58</v>
      </c>
      <c r="G63" s="66">
        <v>-54</v>
      </c>
      <c r="H63" s="66">
        <v>-26</v>
      </c>
      <c r="I63" s="66">
        <v>-279</v>
      </c>
      <c r="J63" s="66">
        <v>-14</v>
      </c>
      <c r="K63" s="66">
        <v>-8</v>
      </c>
      <c r="L63" s="66">
        <v>-25</v>
      </c>
      <c r="M63" s="66">
        <v>-98</v>
      </c>
      <c r="N63" s="66">
        <v>-428</v>
      </c>
    </row>
    <row r="64" spans="2:14" x14ac:dyDescent="0.35">
      <c r="B64" s="73" t="s">
        <v>144</v>
      </c>
      <c r="C64" s="66">
        <v>-42</v>
      </c>
      <c r="D64" s="66">
        <v>-35</v>
      </c>
      <c r="E64" s="66">
        <v>-40</v>
      </c>
      <c r="F64" s="66">
        <v>-36</v>
      </c>
      <c r="G64" s="66">
        <v>-35</v>
      </c>
      <c r="H64" s="66">
        <v>-106</v>
      </c>
      <c r="I64" s="66">
        <v>-101</v>
      </c>
      <c r="J64" s="66">
        <v>-89</v>
      </c>
      <c r="K64" s="66">
        <v>-94</v>
      </c>
      <c r="L64" s="66">
        <v>-142</v>
      </c>
      <c r="M64" s="66">
        <v>-191</v>
      </c>
      <c r="N64" s="66">
        <v>-203</v>
      </c>
    </row>
    <row r="65" spans="2:14" x14ac:dyDescent="0.35">
      <c r="B65" s="73" t="s">
        <v>145</v>
      </c>
      <c r="C65" s="66">
        <v>-547</v>
      </c>
      <c r="D65" s="66">
        <v>-695</v>
      </c>
      <c r="E65" s="66">
        <v>-764</v>
      </c>
      <c r="F65" s="66">
        <v>-947</v>
      </c>
      <c r="G65" s="67">
        <v>-1218</v>
      </c>
      <c r="H65" s="67">
        <v>-1049</v>
      </c>
      <c r="I65" s="67">
        <v>-2121</v>
      </c>
      <c r="J65" s="66">
        <v>-499</v>
      </c>
      <c r="K65" s="67">
        <v>-1763</v>
      </c>
      <c r="L65" s="67">
        <v>-1936</v>
      </c>
      <c r="M65" s="67">
        <v>-2551</v>
      </c>
      <c r="N65" s="67">
        <v>-3140</v>
      </c>
    </row>
    <row r="66" spans="2:14" x14ac:dyDescent="0.35">
      <c r="B66" s="73" t="s">
        <v>146</v>
      </c>
      <c r="C66" s="66">
        <v>0</v>
      </c>
      <c r="D66" s="66">
        <v>0</v>
      </c>
      <c r="E66" s="66">
        <v>0</v>
      </c>
      <c r="F66" s="66">
        <v>0</v>
      </c>
      <c r="G66" s="66">
        <v>0</v>
      </c>
      <c r="H66" s="66">
        <v>-180</v>
      </c>
      <c r="I66" s="66">
        <v>-179</v>
      </c>
      <c r="J66" s="66">
        <v>-203</v>
      </c>
      <c r="K66" s="66">
        <v>-221</v>
      </c>
      <c r="L66" s="66">
        <v>-256</v>
      </c>
      <c r="M66" s="66">
        <v>-286</v>
      </c>
      <c r="N66" s="66">
        <v>-325</v>
      </c>
    </row>
    <row r="67" spans="2:14" ht="15" thickBot="1" x14ac:dyDescent="0.4">
      <c r="B67" s="73" t="s">
        <v>147</v>
      </c>
      <c r="C67" s="66">
        <v>0</v>
      </c>
      <c r="D67" s="66">
        <v>0</v>
      </c>
      <c r="E67" s="66">
        <v>66</v>
      </c>
      <c r="F67" s="66">
        <v>13</v>
      </c>
      <c r="G67" s="66">
        <v>-82</v>
      </c>
      <c r="H67" s="66">
        <v>0</v>
      </c>
      <c r="I67" s="66">
        <v>-6</v>
      </c>
      <c r="J67" s="66">
        <v>0</v>
      </c>
      <c r="K67" s="66">
        <v>-140</v>
      </c>
      <c r="L67" s="66">
        <v>-36</v>
      </c>
      <c r="M67" s="66">
        <v>41</v>
      </c>
      <c r="N67" s="66">
        <v>-72</v>
      </c>
    </row>
    <row r="68" spans="2:14" x14ac:dyDescent="0.35">
      <c r="B68" s="74" t="s">
        <v>35</v>
      </c>
      <c r="C68" s="68">
        <v>190</v>
      </c>
      <c r="D68" s="68">
        <v>147</v>
      </c>
      <c r="E68" s="68">
        <v>528</v>
      </c>
      <c r="F68" s="68">
        <v>90</v>
      </c>
      <c r="G68" s="68">
        <v>-822</v>
      </c>
      <c r="H68" s="68">
        <v>434</v>
      </c>
      <c r="I68" s="68">
        <v>-351</v>
      </c>
      <c r="J68" s="69">
        <v>2492</v>
      </c>
      <c r="K68" s="69">
        <v>-1138</v>
      </c>
      <c r="L68" s="68">
        <v>771</v>
      </c>
      <c r="M68" s="68">
        <v>573</v>
      </c>
      <c r="N68" s="68">
        <v>-270</v>
      </c>
    </row>
  </sheetData>
  <pageMargins left="0.7" right="0.7" top="0.75" bottom="0.75" header="0.3" footer="0.3"/>
  <ignoredErrors>
    <ignoredError sqref="C28 D28:N28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7FAA-EC93-4DC0-AD9B-8D4A6DED6706}">
  <sheetPr>
    <tabColor rgb="FF002060"/>
  </sheetPr>
  <dimension ref="B2:F65"/>
  <sheetViews>
    <sheetView showGridLines="0" workbookViewId="0">
      <selection activeCell="E5" sqref="E5:F65"/>
    </sheetView>
  </sheetViews>
  <sheetFormatPr defaultRowHeight="14.5" x14ac:dyDescent="0.35"/>
  <cols>
    <col min="1" max="1" width="1.81640625" customWidth="1"/>
    <col min="2" max="2" width="11.81640625" bestFit="1" customWidth="1"/>
    <col min="3" max="3" width="8.54296875" bestFit="1" customWidth="1"/>
    <col min="5" max="5" width="11.54296875" customWidth="1"/>
    <col min="6" max="6" width="8.81640625" bestFit="1" customWidth="1"/>
  </cols>
  <sheetData>
    <row r="2" spans="2:6" x14ac:dyDescent="0.35">
      <c r="B2" s="151" t="s">
        <v>199</v>
      </c>
    </row>
    <row r="3" spans="2:6" x14ac:dyDescent="0.35">
      <c r="B3" s="151"/>
      <c r="C3" s="94" t="s">
        <v>200</v>
      </c>
      <c r="E3" s="150" t="s">
        <v>199</v>
      </c>
    </row>
    <row r="4" spans="2:6" x14ac:dyDescent="0.35">
      <c r="B4" s="93">
        <v>44378</v>
      </c>
      <c r="C4" s="91">
        <v>678.47</v>
      </c>
      <c r="E4" s="150"/>
      <c r="F4" s="90" t="s">
        <v>200</v>
      </c>
    </row>
    <row r="5" spans="2:6" x14ac:dyDescent="0.35">
      <c r="B5" s="93">
        <v>44409</v>
      </c>
      <c r="C5" s="91">
        <v>752.17</v>
      </c>
      <c r="E5" s="93">
        <v>44378</v>
      </c>
      <c r="F5" s="92">
        <v>15763.05</v>
      </c>
    </row>
    <row r="6" spans="2:6" x14ac:dyDescent="0.35">
      <c r="B6" s="93">
        <v>44440</v>
      </c>
      <c r="C6" s="91">
        <v>758.62</v>
      </c>
      <c r="E6" s="93">
        <v>44409</v>
      </c>
      <c r="F6" s="92">
        <v>17132.2</v>
      </c>
    </row>
    <row r="7" spans="2:6" x14ac:dyDescent="0.35">
      <c r="B7" s="93">
        <v>44470</v>
      </c>
      <c r="C7" s="91">
        <v>752.86</v>
      </c>
      <c r="E7" s="93">
        <v>44440</v>
      </c>
      <c r="F7" s="92">
        <v>17618.150000000001</v>
      </c>
    </row>
    <row r="8" spans="2:6" x14ac:dyDescent="0.35">
      <c r="B8" s="93">
        <v>44501</v>
      </c>
      <c r="C8" s="91">
        <v>710.39</v>
      </c>
      <c r="E8" s="93">
        <v>44470</v>
      </c>
      <c r="F8" s="92">
        <v>17671.650000000001</v>
      </c>
    </row>
    <row r="9" spans="2:6" x14ac:dyDescent="0.35">
      <c r="B9" s="93">
        <v>44531</v>
      </c>
      <c r="C9" s="91">
        <v>703.66</v>
      </c>
      <c r="E9" s="93">
        <v>44501</v>
      </c>
      <c r="F9" s="92">
        <v>16983.2</v>
      </c>
    </row>
    <row r="10" spans="2:6" x14ac:dyDescent="0.35">
      <c r="B10" s="93">
        <v>44562</v>
      </c>
      <c r="C10" s="91">
        <v>706.65</v>
      </c>
      <c r="E10" s="93">
        <v>44531</v>
      </c>
      <c r="F10" s="92">
        <v>17354.05</v>
      </c>
    </row>
    <row r="11" spans="2:6" x14ac:dyDescent="0.35">
      <c r="B11" s="93">
        <v>44593</v>
      </c>
      <c r="C11" s="91">
        <v>678.38</v>
      </c>
      <c r="E11" s="93">
        <v>44562</v>
      </c>
      <c r="F11" s="92">
        <v>17339.849999999999</v>
      </c>
    </row>
    <row r="12" spans="2:6" x14ac:dyDescent="0.35">
      <c r="B12" s="93">
        <v>44621</v>
      </c>
      <c r="C12" s="91">
        <v>699.35</v>
      </c>
      <c r="E12" s="93">
        <v>44593</v>
      </c>
      <c r="F12" s="92">
        <v>16793.900000000001</v>
      </c>
    </row>
    <row r="13" spans="2:6" x14ac:dyDescent="0.35">
      <c r="B13" s="93">
        <v>44652</v>
      </c>
      <c r="C13" s="91">
        <v>658.57</v>
      </c>
      <c r="E13" s="93">
        <v>44621</v>
      </c>
      <c r="F13" s="92">
        <v>17464.75</v>
      </c>
    </row>
    <row r="14" spans="2:6" x14ac:dyDescent="0.35">
      <c r="B14" s="93">
        <v>44682</v>
      </c>
      <c r="C14" s="91">
        <v>660.64</v>
      </c>
      <c r="E14" s="93">
        <v>44652</v>
      </c>
      <c r="F14" s="92">
        <v>17102.55</v>
      </c>
    </row>
    <row r="15" spans="2:6" x14ac:dyDescent="0.35">
      <c r="B15" s="93">
        <v>44713</v>
      </c>
      <c r="C15" s="91">
        <v>648.61</v>
      </c>
      <c r="E15" s="93">
        <v>44682</v>
      </c>
      <c r="F15" s="92">
        <v>16584.55</v>
      </c>
    </row>
    <row r="16" spans="2:6" x14ac:dyDescent="0.35">
      <c r="B16" s="93">
        <v>44743</v>
      </c>
      <c r="C16" s="91">
        <v>690.09</v>
      </c>
      <c r="E16" s="93">
        <v>44713</v>
      </c>
      <c r="F16" s="92">
        <v>15780.25</v>
      </c>
    </row>
    <row r="17" spans="2:6" x14ac:dyDescent="0.35">
      <c r="B17" s="93">
        <v>44774</v>
      </c>
      <c r="C17" s="91">
        <v>715.06</v>
      </c>
      <c r="E17" s="93">
        <v>44743</v>
      </c>
      <c r="F17" s="92">
        <v>17158.25</v>
      </c>
    </row>
    <row r="18" spans="2:6" x14ac:dyDescent="0.35">
      <c r="B18" s="93">
        <v>44805</v>
      </c>
      <c r="C18" s="91">
        <v>683.91</v>
      </c>
      <c r="E18" s="93">
        <v>44774</v>
      </c>
      <c r="F18" s="92">
        <v>17759.3</v>
      </c>
    </row>
    <row r="19" spans="2:6" x14ac:dyDescent="0.35">
      <c r="B19" s="93">
        <v>44835</v>
      </c>
      <c r="C19" s="91">
        <v>720.16</v>
      </c>
      <c r="E19" s="93">
        <v>44805</v>
      </c>
      <c r="F19" s="92">
        <v>17094.349999999999</v>
      </c>
    </row>
    <row r="20" spans="2:6" x14ac:dyDescent="0.35">
      <c r="B20" s="93">
        <v>44866</v>
      </c>
      <c r="C20" s="91">
        <v>773.93</v>
      </c>
      <c r="E20" s="93">
        <v>44835</v>
      </c>
      <c r="F20" s="92">
        <v>18012.2</v>
      </c>
    </row>
    <row r="21" spans="2:6" x14ac:dyDescent="0.35">
      <c r="B21" s="93">
        <v>44896</v>
      </c>
      <c r="C21" s="91">
        <v>783.41</v>
      </c>
      <c r="E21" s="93">
        <v>44866</v>
      </c>
      <c r="F21" s="92">
        <v>18758.349999999999</v>
      </c>
    </row>
    <row r="22" spans="2:6" x14ac:dyDescent="0.35">
      <c r="B22" s="93">
        <v>44927</v>
      </c>
      <c r="C22" s="91">
        <v>771.55</v>
      </c>
      <c r="E22" s="93">
        <v>44896</v>
      </c>
      <c r="F22" s="92">
        <v>18105.3</v>
      </c>
    </row>
    <row r="23" spans="2:6" x14ac:dyDescent="0.35">
      <c r="B23" s="93">
        <v>44958</v>
      </c>
      <c r="C23" s="91">
        <v>769.68</v>
      </c>
      <c r="E23" s="93">
        <v>44927</v>
      </c>
      <c r="F23" s="92">
        <v>17662.150000000001</v>
      </c>
    </row>
    <row r="24" spans="2:6" x14ac:dyDescent="0.35">
      <c r="B24" s="93">
        <v>44986</v>
      </c>
      <c r="C24" s="91">
        <v>774.46</v>
      </c>
      <c r="E24" s="93">
        <v>44958</v>
      </c>
      <c r="F24" s="92">
        <v>17303.95</v>
      </c>
    </row>
    <row r="25" spans="2:6" x14ac:dyDescent="0.35">
      <c r="B25" s="93">
        <v>45017</v>
      </c>
      <c r="C25" s="91">
        <v>812.02</v>
      </c>
      <c r="E25" s="93">
        <v>44986</v>
      </c>
      <c r="F25" s="92">
        <v>17359.75</v>
      </c>
    </row>
    <row r="26" spans="2:6" x14ac:dyDescent="0.35">
      <c r="B26" s="93">
        <v>45047</v>
      </c>
      <c r="C26" s="91">
        <v>775.09</v>
      </c>
      <c r="E26" s="93">
        <v>45017</v>
      </c>
      <c r="F26" s="92">
        <v>18065</v>
      </c>
    </row>
    <row r="27" spans="2:6" x14ac:dyDescent="0.35">
      <c r="B27" s="93">
        <v>45078</v>
      </c>
      <c r="C27" s="91">
        <v>828.05</v>
      </c>
      <c r="E27" s="93">
        <v>45047</v>
      </c>
      <c r="F27" s="92">
        <v>18534.400000000001</v>
      </c>
    </row>
    <row r="28" spans="2:6" x14ac:dyDescent="0.35">
      <c r="B28" s="93">
        <v>45108</v>
      </c>
      <c r="C28" s="91">
        <v>803.62</v>
      </c>
      <c r="E28" s="93">
        <v>45078</v>
      </c>
      <c r="F28" s="92">
        <v>19189.05</v>
      </c>
    </row>
    <row r="29" spans="2:6" x14ac:dyDescent="0.35">
      <c r="B29" s="93">
        <v>45139</v>
      </c>
      <c r="C29" s="91">
        <v>764.8</v>
      </c>
      <c r="E29" s="93">
        <v>45108</v>
      </c>
      <c r="F29" s="92">
        <v>19753.8</v>
      </c>
    </row>
    <row r="30" spans="2:6" x14ac:dyDescent="0.35">
      <c r="B30" s="93">
        <v>45170</v>
      </c>
      <c r="C30" s="91">
        <v>742.83</v>
      </c>
      <c r="E30" s="93">
        <v>45139</v>
      </c>
      <c r="F30" s="92">
        <v>19253.8</v>
      </c>
    </row>
    <row r="31" spans="2:6" x14ac:dyDescent="0.35">
      <c r="B31" s="93">
        <v>45200</v>
      </c>
      <c r="C31" s="91">
        <v>718.59</v>
      </c>
      <c r="E31" s="93">
        <v>45170</v>
      </c>
      <c r="F31" s="92">
        <v>19638.3</v>
      </c>
    </row>
    <row r="32" spans="2:6" x14ac:dyDescent="0.35">
      <c r="B32" s="93">
        <v>45231</v>
      </c>
      <c r="C32" s="91">
        <v>758.65</v>
      </c>
      <c r="E32" s="93">
        <v>45200</v>
      </c>
      <c r="F32" s="92">
        <v>19079.599999999999</v>
      </c>
    </row>
    <row r="33" spans="2:6" x14ac:dyDescent="0.35">
      <c r="B33" s="93">
        <v>45261</v>
      </c>
      <c r="C33" s="91">
        <v>831.87</v>
      </c>
      <c r="E33" s="93">
        <v>45231</v>
      </c>
      <c r="F33" s="92">
        <v>20133.150000000001</v>
      </c>
    </row>
    <row r="34" spans="2:6" x14ac:dyDescent="0.35">
      <c r="B34" s="93">
        <v>45292</v>
      </c>
      <c r="C34" s="91">
        <v>711.8</v>
      </c>
      <c r="E34" s="93">
        <v>45261</v>
      </c>
      <c r="F34" s="92">
        <v>21731.4</v>
      </c>
    </row>
    <row r="35" spans="2:6" x14ac:dyDescent="0.35">
      <c r="B35" s="93">
        <v>45323</v>
      </c>
      <c r="C35" s="91">
        <v>683.01</v>
      </c>
      <c r="E35" s="93">
        <v>45292</v>
      </c>
      <c r="F35" s="92">
        <v>21725.7</v>
      </c>
    </row>
    <row r="36" spans="2:6" x14ac:dyDescent="0.35">
      <c r="B36" s="93">
        <v>45352</v>
      </c>
      <c r="C36" s="91">
        <v>704.67</v>
      </c>
      <c r="E36" s="93">
        <v>45323</v>
      </c>
      <c r="F36" s="92">
        <v>21982.799999999999</v>
      </c>
    </row>
    <row r="37" spans="2:6" x14ac:dyDescent="0.35">
      <c r="B37" s="93">
        <v>45383</v>
      </c>
      <c r="C37" s="91">
        <v>739.81</v>
      </c>
      <c r="E37" s="93">
        <v>45352</v>
      </c>
      <c r="F37" s="92">
        <v>22326.9</v>
      </c>
    </row>
    <row r="38" spans="2:6" x14ac:dyDescent="0.35">
      <c r="B38" s="93">
        <v>45413</v>
      </c>
      <c r="C38" s="91">
        <v>745.38</v>
      </c>
      <c r="E38" s="93">
        <v>45383</v>
      </c>
      <c r="F38" s="92">
        <v>22604.85</v>
      </c>
    </row>
    <row r="39" spans="2:6" x14ac:dyDescent="0.35">
      <c r="B39" s="93">
        <v>45444</v>
      </c>
      <c r="C39" s="91">
        <v>830.67</v>
      </c>
      <c r="E39" s="93">
        <v>45413</v>
      </c>
      <c r="F39" s="92">
        <v>22530.7</v>
      </c>
    </row>
    <row r="40" spans="2:6" x14ac:dyDescent="0.35">
      <c r="B40" s="93">
        <v>45474</v>
      </c>
      <c r="C40" s="91">
        <v>797.1</v>
      </c>
      <c r="E40" s="93">
        <v>45444</v>
      </c>
      <c r="F40" s="92">
        <v>24010.6</v>
      </c>
    </row>
    <row r="41" spans="2:6" x14ac:dyDescent="0.35">
      <c r="B41" s="93">
        <v>45505</v>
      </c>
      <c r="C41" s="91">
        <v>807.53</v>
      </c>
      <c r="E41" s="93">
        <v>45474</v>
      </c>
      <c r="F41" s="92">
        <v>24951.15</v>
      </c>
    </row>
    <row r="42" spans="2:6" x14ac:dyDescent="0.35">
      <c r="B42" s="93">
        <v>45536</v>
      </c>
      <c r="C42" s="91">
        <v>854.48</v>
      </c>
      <c r="E42" s="93">
        <v>45505</v>
      </c>
      <c r="F42" s="92">
        <v>25235.9</v>
      </c>
    </row>
    <row r="43" spans="2:6" x14ac:dyDescent="0.35">
      <c r="B43" s="93">
        <v>45566</v>
      </c>
      <c r="C43" s="91">
        <v>856.28</v>
      </c>
      <c r="E43" s="93">
        <v>45536</v>
      </c>
      <c r="F43" s="92">
        <v>25810.85</v>
      </c>
    </row>
    <row r="44" spans="2:6" x14ac:dyDescent="0.35">
      <c r="B44" s="93">
        <v>45597</v>
      </c>
      <c r="C44" s="91">
        <v>886.05</v>
      </c>
      <c r="E44" s="93">
        <v>45566</v>
      </c>
      <c r="F44" s="92">
        <v>24205.35</v>
      </c>
    </row>
    <row r="45" spans="2:6" x14ac:dyDescent="0.35">
      <c r="B45" s="93">
        <v>45627</v>
      </c>
      <c r="C45" s="91">
        <v>874.6</v>
      </c>
      <c r="E45" s="93">
        <v>45597</v>
      </c>
      <c r="F45" s="92">
        <v>24131.1</v>
      </c>
    </row>
    <row r="46" spans="2:6" x14ac:dyDescent="0.35">
      <c r="B46" s="93">
        <v>45658</v>
      </c>
      <c r="C46" s="91">
        <v>838.05</v>
      </c>
      <c r="E46" s="93">
        <v>45627</v>
      </c>
      <c r="F46" s="92">
        <v>23644.799999999999</v>
      </c>
    </row>
    <row r="47" spans="2:6" x14ac:dyDescent="0.35">
      <c r="B47" s="93">
        <v>45689</v>
      </c>
      <c r="C47" s="91">
        <v>854.65</v>
      </c>
      <c r="E47" s="93">
        <v>45658</v>
      </c>
      <c r="F47" s="92">
        <v>23508.400000000001</v>
      </c>
    </row>
    <row r="48" spans="2:6" x14ac:dyDescent="0.35">
      <c r="B48" s="93">
        <v>45717</v>
      </c>
      <c r="C48" s="91">
        <v>901.91</v>
      </c>
      <c r="E48" s="93">
        <v>45689</v>
      </c>
      <c r="F48" s="92">
        <v>22124.7</v>
      </c>
    </row>
    <row r="49" spans="2:6" x14ac:dyDescent="0.35">
      <c r="B49" s="93">
        <v>45748</v>
      </c>
      <c r="C49" s="91">
        <v>949.66</v>
      </c>
      <c r="E49" s="93">
        <v>45717</v>
      </c>
      <c r="F49" s="92">
        <v>23519.35</v>
      </c>
    </row>
    <row r="50" spans="2:6" x14ac:dyDescent="0.35">
      <c r="B50" s="93">
        <v>45778</v>
      </c>
      <c r="C50" s="91">
        <v>959.48</v>
      </c>
      <c r="E50" s="93">
        <v>45748</v>
      </c>
      <c r="F50" s="92">
        <v>24334.2</v>
      </c>
    </row>
    <row r="51" spans="2:6" x14ac:dyDescent="0.35">
      <c r="B51" s="93">
        <v>45809</v>
      </c>
      <c r="C51" s="91">
        <v>987.4</v>
      </c>
      <c r="E51" s="93">
        <v>45778</v>
      </c>
      <c r="F51" s="92">
        <v>24750.7</v>
      </c>
    </row>
    <row r="52" spans="2:6" x14ac:dyDescent="0.35">
      <c r="B52" s="93">
        <v>45839</v>
      </c>
      <c r="C52" s="92">
        <v>1006.6</v>
      </c>
      <c r="E52" s="93">
        <v>45809</v>
      </c>
      <c r="F52" s="92">
        <v>25517.05</v>
      </c>
    </row>
    <row r="53" spans="2:6" x14ac:dyDescent="0.35">
      <c r="B53" s="93">
        <v>45870</v>
      </c>
      <c r="C53" s="91">
        <v>951.6</v>
      </c>
      <c r="E53" s="93">
        <v>45839</v>
      </c>
      <c r="F53" s="92">
        <v>24768.35</v>
      </c>
    </row>
    <row r="54" spans="2:6" x14ac:dyDescent="0.35">
      <c r="B54" s="93">
        <v>45901</v>
      </c>
      <c r="C54" s="91">
        <v>951</v>
      </c>
      <c r="E54" s="93">
        <v>45870</v>
      </c>
      <c r="F54" s="92">
        <v>24426.85</v>
      </c>
    </row>
    <row r="55" spans="2:6" x14ac:dyDescent="0.35">
      <c r="B55" s="93">
        <v>45931</v>
      </c>
      <c r="C55" s="91">
        <v>987.3</v>
      </c>
      <c r="E55" s="93">
        <v>45901</v>
      </c>
      <c r="F55" s="92">
        <v>24611.1</v>
      </c>
    </row>
    <row r="56" spans="2:6" x14ac:dyDescent="0.35">
      <c r="B56" s="93">
        <v>45962</v>
      </c>
      <c r="C56" s="92">
        <v>1007.6</v>
      </c>
      <c r="E56" s="93">
        <v>45931</v>
      </c>
      <c r="F56" s="92">
        <v>25722.1</v>
      </c>
    </row>
    <row r="57" spans="2:6" x14ac:dyDescent="0.35">
      <c r="B57" s="93">
        <v>45992</v>
      </c>
      <c r="C57" s="91">
        <v>991.2</v>
      </c>
      <c r="E57" s="93">
        <v>45962</v>
      </c>
      <c r="F57" s="92">
        <v>26202.95</v>
      </c>
    </row>
    <row r="58" spans="2:6" x14ac:dyDescent="0.35">
      <c r="B58" s="93">
        <v>46023</v>
      </c>
      <c r="C58" s="91">
        <v>929.25</v>
      </c>
      <c r="E58" s="93">
        <v>45992</v>
      </c>
      <c r="F58" s="92">
        <v>26129.599999999999</v>
      </c>
    </row>
    <row r="59" spans="2:6" x14ac:dyDescent="0.35">
      <c r="B59" s="93">
        <v>46054</v>
      </c>
      <c r="C59" s="91">
        <v>887.75</v>
      </c>
      <c r="E59" s="93">
        <v>46023</v>
      </c>
      <c r="F59" s="92">
        <v>25320.65</v>
      </c>
    </row>
    <row r="60" spans="2:6" x14ac:dyDescent="0.35">
      <c r="B60" s="93">
        <v>46082</v>
      </c>
      <c r="C60" s="91">
        <v>731.55</v>
      </c>
      <c r="E60" s="93">
        <v>46054</v>
      </c>
      <c r="F60" s="92">
        <v>25178.65</v>
      </c>
    </row>
    <row r="61" spans="2:6" x14ac:dyDescent="0.35">
      <c r="B61" s="93">
        <v>46113</v>
      </c>
      <c r="C61" s="91">
        <v>771.7</v>
      </c>
      <c r="E61" s="93">
        <v>46082</v>
      </c>
      <c r="F61" s="92">
        <v>22331.4</v>
      </c>
    </row>
    <row r="62" spans="2:6" x14ac:dyDescent="0.35">
      <c r="B62" s="93">
        <v>46143</v>
      </c>
      <c r="C62" s="91">
        <v>744.55</v>
      </c>
      <c r="E62" s="93">
        <v>46113</v>
      </c>
      <c r="F62" s="92">
        <v>23997.55</v>
      </c>
    </row>
    <row r="63" spans="2:6" x14ac:dyDescent="0.35">
      <c r="B63" s="93">
        <v>46174</v>
      </c>
      <c r="C63" s="91">
        <v>738.35</v>
      </c>
      <c r="E63" s="93">
        <v>46143</v>
      </c>
      <c r="F63" s="92">
        <v>23547.75</v>
      </c>
    </row>
    <row r="64" spans="2:6" x14ac:dyDescent="0.35">
      <c r="B64" s="93">
        <v>46183</v>
      </c>
      <c r="C64" s="91">
        <v>746.85</v>
      </c>
      <c r="E64" s="93">
        <v>46174</v>
      </c>
      <c r="F64" s="92">
        <v>23123</v>
      </c>
    </row>
    <row r="65" spans="5:6" x14ac:dyDescent="0.35">
      <c r="E65" s="93">
        <v>46183</v>
      </c>
      <c r="F65" s="92">
        <v>23214.95</v>
      </c>
    </row>
  </sheetData>
  <sortState xmlns:xlrd2="http://schemas.microsoft.com/office/spreadsheetml/2017/richdata2" ref="E6:F65">
    <sortCondition ref="E5:E65"/>
  </sortState>
  <mergeCells count="2">
    <mergeCell ref="E3:E4"/>
    <mergeCell ref="B2:B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D34E-01BC-4B64-A500-22F4094E1731}">
  <dimension ref="B2:R67"/>
  <sheetViews>
    <sheetView showGridLines="0" workbookViewId="0">
      <selection activeCell="B2" sqref="B2"/>
    </sheetView>
  </sheetViews>
  <sheetFormatPr defaultRowHeight="14.5" x14ac:dyDescent="0.35"/>
  <cols>
    <col min="1" max="1" width="1.81640625" customWidth="1"/>
    <col min="2" max="2" width="13.08984375" customWidth="1"/>
    <col min="3" max="3" width="11.36328125" customWidth="1"/>
    <col min="4" max="4" width="9.7265625" customWidth="1"/>
    <col min="6" max="6" width="14.08984375" customWidth="1"/>
    <col min="7" max="7" width="11.6328125" customWidth="1"/>
    <col min="10" max="10" width="10.54296875" bestFit="1" customWidth="1"/>
    <col min="11" max="11" width="11.81640625" bestFit="1" customWidth="1"/>
    <col min="12" max="12" width="13.54296875" bestFit="1" customWidth="1"/>
    <col min="13" max="14" width="11.81640625" bestFit="1" customWidth="1"/>
    <col min="15" max="15" width="12.453125" bestFit="1" customWidth="1"/>
    <col min="16" max="16" width="11.81640625" bestFit="1" customWidth="1"/>
    <col min="17" max="17" width="12.453125" bestFit="1" customWidth="1"/>
    <col min="18" max="18" width="12" bestFit="1" customWidth="1"/>
  </cols>
  <sheetData>
    <row r="2" spans="2:15" x14ac:dyDescent="0.35">
      <c r="B2" s="99" t="s">
        <v>236</v>
      </c>
    </row>
    <row r="4" spans="2:15" x14ac:dyDescent="0.35">
      <c r="B4" s="149" t="s">
        <v>198</v>
      </c>
      <c r="C4" s="149"/>
      <c r="D4" s="149"/>
      <c r="F4" s="149" t="s">
        <v>204</v>
      </c>
      <c r="G4" s="149"/>
      <c r="H4" s="149"/>
      <c r="J4" s="59" t="s">
        <v>205</v>
      </c>
      <c r="K4" s="59"/>
      <c r="L4" s="59"/>
      <c r="N4" t="s">
        <v>235</v>
      </c>
      <c r="O4" s="43">
        <f>K33</f>
        <v>0.95394138678996721</v>
      </c>
    </row>
    <row r="6" spans="2:15" x14ac:dyDescent="0.35">
      <c r="B6" s="95" t="s">
        <v>201</v>
      </c>
      <c r="C6" s="97" t="s">
        <v>202</v>
      </c>
      <c r="D6" s="97" t="s">
        <v>203</v>
      </c>
      <c r="F6" s="95" t="s">
        <v>201</v>
      </c>
      <c r="G6" s="97" t="s">
        <v>202</v>
      </c>
      <c r="H6" s="97" t="s">
        <v>203</v>
      </c>
      <c r="J6" t="s">
        <v>206</v>
      </c>
      <c r="L6" s="43">
        <f>O4</f>
        <v>0.95394138678996721</v>
      </c>
    </row>
    <row r="7" spans="2:15" x14ac:dyDescent="0.35">
      <c r="B7" s="98">
        <v>44378</v>
      </c>
      <c r="C7" s="96">
        <v>678.47</v>
      </c>
      <c r="F7" s="98">
        <v>44378</v>
      </c>
      <c r="G7" s="92">
        <v>15763.05</v>
      </c>
      <c r="J7" t="s">
        <v>207</v>
      </c>
      <c r="L7" s="5">
        <v>0.75</v>
      </c>
    </row>
    <row r="8" spans="2:15" x14ac:dyDescent="0.35">
      <c r="B8" s="98">
        <v>44409</v>
      </c>
      <c r="C8" s="96">
        <v>752.17</v>
      </c>
      <c r="D8" s="26">
        <f>C8/C7-1</f>
        <v>0.10862676315828246</v>
      </c>
      <c r="F8" s="98">
        <v>44409</v>
      </c>
      <c r="G8" s="92">
        <v>17132.2</v>
      </c>
      <c r="H8" s="26">
        <f>G8/G7-1</f>
        <v>8.6858190515160638E-2</v>
      </c>
    </row>
    <row r="9" spans="2:15" x14ac:dyDescent="0.35">
      <c r="B9" s="98">
        <v>44440</v>
      </c>
      <c r="C9" s="96">
        <v>758.62</v>
      </c>
      <c r="D9" s="26">
        <f t="shared" ref="D9:D67" si="0">C9/C8-1</f>
        <v>8.5751891194809637E-3</v>
      </c>
      <c r="F9" s="98">
        <v>44440</v>
      </c>
      <c r="G9" s="92">
        <v>17618.150000000001</v>
      </c>
      <c r="H9" s="26">
        <f t="shared" ref="H9:H67" si="1">G9/G8-1</f>
        <v>2.8364716732235173E-2</v>
      </c>
      <c r="J9" t="s">
        <v>208</v>
      </c>
      <c r="L9" s="43">
        <v>1</v>
      </c>
    </row>
    <row r="10" spans="2:15" x14ac:dyDescent="0.35">
      <c r="B10" s="98">
        <v>44470</v>
      </c>
      <c r="C10" s="96">
        <v>752.86</v>
      </c>
      <c r="D10" s="26">
        <f t="shared" si="0"/>
        <v>-7.5927341752128896E-3</v>
      </c>
      <c r="F10" s="98">
        <v>44470</v>
      </c>
      <c r="G10" s="92">
        <v>17671.650000000001</v>
      </c>
      <c r="H10" s="26">
        <f t="shared" si="1"/>
        <v>3.0366411910445201E-3</v>
      </c>
      <c r="J10" t="s">
        <v>209</v>
      </c>
      <c r="L10" s="26">
        <v>0.25</v>
      </c>
    </row>
    <row r="11" spans="2:15" x14ac:dyDescent="0.35">
      <c r="B11" s="98">
        <v>44501</v>
      </c>
      <c r="C11" s="96">
        <v>710.39</v>
      </c>
      <c r="D11" s="26">
        <f t="shared" si="0"/>
        <v>-5.6411550620301232E-2</v>
      </c>
      <c r="F11" s="98">
        <v>44501</v>
      </c>
      <c r="G11" s="92">
        <v>16983.2</v>
      </c>
      <c r="H11" s="26">
        <f t="shared" si="1"/>
        <v>-3.8957878862471818E-2</v>
      </c>
    </row>
    <row r="12" spans="2:15" x14ac:dyDescent="0.35">
      <c r="B12" s="98">
        <v>44531</v>
      </c>
      <c r="C12" s="96">
        <v>703.66</v>
      </c>
      <c r="D12" s="26">
        <f t="shared" si="0"/>
        <v>-9.4736693928687554E-3</v>
      </c>
      <c r="F12" s="98">
        <v>44531</v>
      </c>
      <c r="G12" s="92">
        <v>17354.05</v>
      </c>
      <c r="H12" s="26">
        <f t="shared" si="1"/>
        <v>2.1836285270149247E-2</v>
      </c>
      <c r="J12" s="100" t="s">
        <v>210</v>
      </c>
      <c r="K12" s="100"/>
      <c r="L12" s="104">
        <f>(L6*L7)+(L9*L10)</f>
        <v>0.96545604009247543</v>
      </c>
    </row>
    <row r="13" spans="2:15" x14ac:dyDescent="0.35">
      <c r="B13" s="98">
        <v>44562</v>
      </c>
      <c r="C13" s="96">
        <v>706.65</v>
      </c>
      <c r="D13" s="26">
        <f t="shared" si="0"/>
        <v>4.2492112668051085E-3</v>
      </c>
      <c r="F13" s="98">
        <v>44562</v>
      </c>
      <c r="G13" s="92">
        <v>17339.849999999999</v>
      </c>
      <c r="H13" s="26">
        <f t="shared" si="1"/>
        <v>-8.1825279977876253E-4</v>
      </c>
    </row>
    <row r="14" spans="2:15" x14ac:dyDescent="0.35">
      <c r="B14" s="98">
        <v>44593</v>
      </c>
      <c r="C14" s="96">
        <v>678.38</v>
      </c>
      <c r="D14" s="26">
        <f t="shared" si="0"/>
        <v>-4.0005660510861074E-2</v>
      </c>
      <c r="F14" s="98">
        <v>44593</v>
      </c>
      <c r="G14" s="92">
        <v>16793.900000000001</v>
      </c>
      <c r="H14" s="26">
        <f t="shared" si="1"/>
        <v>-3.1485278131010208E-2</v>
      </c>
    </row>
    <row r="15" spans="2:15" x14ac:dyDescent="0.35">
      <c r="B15" s="98">
        <v>44621</v>
      </c>
      <c r="C15" s="96">
        <v>699.35</v>
      </c>
      <c r="D15" s="26">
        <f t="shared" si="0"/>
        <v>3.0911878298298889E-2</v>
      </c>
      <c r="F15" s="98">
        <v>44621</v>
      </c>
      <c r="G15" s="92">
        <v>17464.75</v>
      </c>
      <c r="H15" s="26">
        <f t="shared" si="1"/>
        <v>3.9946051840251462E-2</v>
      </c>
    </row>
    <row r="16" spans="2:15" x14ac:dyDescent="0.35">
      <c r="B16" s="98">
        <v>44652</v>
      </c>
      <c r="C16" s="96">
        <v>658.57</v>
      </c>
      <c r="D16" s="26">
        <f t="shared" si="0"/>
        <v>-5.831128905412164E-2</v>
      </c>
      <c r="F16" s="98">
        <v>44652</v>
      </c>
      <c r="G16" s="92">
        <v>17102.55</v>
      </c>
      <c r="H16" s="26">
        <f t="shared" si="1"/>
        <v>-2.0738916961307807E-2</v>
      </c>
      <c r="J16" t="s">
        <v>211</v>
      </c>
    </row>
    <row r="17" spans="2:18" ht="15" thickBot="1" x14ac:dyDescent="0.4">
      <c r="B17" s="98">
        <v>44682</v>
      </c>
      <c r="C17" s="96">
        <v>660.64</v>
      </c>
      <c r="D17" s="26">
        <f t="shared" si="0"/>
        <v>3.143173846364089E-3</v>
      </c>
      <c r="F17" s="98">
        <v>44682</v>
      </c>
      <c r="G17" s="92">
        <v>16584.55</v>
      </c>
      <c r="H17" s="26">
        <f t="shared" si="1"/>
        <v>-3.0287881046978327E-2</v>
      </c>
    </row>
    <row r="18" spans="2:18" x14ac:dyDescent="0.35">
      <c r="B18" s="98">
        <v>44713</v>
      </c>
      <c r="C18" s="96">
        <v>648.61</v>
      </c>
      <c r="D18" s="26">
        <f t="shared" si="0"/>
        <v>-1.8209614918866524E-2</v>
      </c>
      <c r="F18" s="98">
        <v>44713</v>
      </c>
      <c r="G18" s="92">
        <v>15780.25</v>
      </c>
      <c r="H18" s="26">
        <f t="shared" si="1"/>
        <v>-4.8496944445281853E-2</v>
      </c>
      <c r="J18" s="103" t="s">
        <v>212</v>
      </c>
      <c r="K18" s="103"/>
    </row>
    <row r="19" spans="2:18" x14ac:dyDescent="0.35">
      <c r="B19" s="98">
        <v>44743</v>
      </c>
      <c r="C19" s="96">
        <v>690.09</v>
      </c>
      <c r="D19" s="26">
        <f t="shared" si="0"/>
        <v>6.3952143815235729E-2</v>
      </c>
      <c r="F19" s="98">
        <v>44743</v>
      </c>
      <c r="G19" s="92">
        <v>17158.25</v>
      </c>
      <c r="H19" s="26">
        <f t="shared" si="1"/>
        <v>8.7324345305048956E-2</v>
      </c>
      <c r="J19" t="s">
        <v>213</v>
      </c>
      <c r="K19">
        <v>0.70824212440904621</v>
      </c>
    </row>
    <row r="20" spans="2:18" x14ac:dyDescent="0.35">
      <c r="B20" s="98">
        <v>44774</v>
      </c>
      <c r="C20" s="96">
        <v>715.06</v>
      </c>
      <c r="D20" s="26">
        <f t="shared" si="0"/>
        <v>3.6183686185859765E-2</v>
      </c>
      <c r="F20" s="98">
        <v>44774</v>
      </c>
      <c r="G20" s="92">
        <v>17759.3</v>
      </c>
      <c r="H20" s="26">
        <f t="shared" si="1"/>
        <v>3.5029796162195925E-2</v>
      </c>
      <c r="J20" t="s">
        <v>214</v>
      </c>
      <c r="K20">
        <v>0.50160690678743891</v>
      </c>
    </row>
    <row r="21" spans="2:18" x14ac:dyDescent="0.35">
      <c r="B21" s="98">
        <v>44805</v>
      </c>
      <c r="C21" s="96">
        <v>683.91</v>
      </c>
      <c r="D21" s="26">
        <f t="shared" si="0"/>
        <v>-4.3562777948703557E-2</v>
      </c>
      <c r="F21" s="98">
        <v>44805</v>
      </c>
      <c r="G21" s="92">
        <v>17094.349999999999</v>
      </c>
      <c r="H21" s="26">
        <f t="shared" si="1"/>
        <v>-3.7442354146841383E-2</v>
      </c>
      <c r="J21" t="s">
        <v>215</v>
      </c>
      <c r="K21">
        <v>0.49301392242170511</v>
      </c>
    </row>
    <row r="22" spans="2:18" x14ac:dyDescent="0.35">
      <c r="B22" s="98">
        <v>44835</v>
      </c>
      <c r="C22" s="96">
        <v>720.16</v>
      </c>
      <c r="D22" s="26">
        <f t="shared" si="0"/>
        <v>5.3004050240528677E-2</v>
      </c>
      <c r="F22" s="98">
        <v>44835</v>
      </c>
      <c r="G22" s="92">
        <v>18012.2</v>
      </c>
      <c r="H22" s="26">
        <f t="shared" si="1"/>
        <v>5.3693179325332796E-2</v>
      </c>
      <c r="J22" t="s">
        <v>216</v>
      </c>
      <c r="K22">
        <v>3.7669569357080906E-2</v>
      </c>
    </row>
    <row r="23" spans="2:18" ht="15" thickBot="1" x14ac:dyDescent="0.4">
      <c r="B23" s="98">
        <v>44866</v>
      </c>
      <c r="C23" s="96">
        <v>773.93</v>
      </c>
      <c r="D23" s="26">
        <f t="shared" si="0"/>
        <v>7.4663963563652569E-2</v>
      </c>
      <c r="F23" s="98">
        <v>44866</v>
      </c>
      <c r="G23" s="92">
        <v>18758.349999999999</v>
      </c>
      <c r="H23" s="26">
        <f t="shared" si="1"/>
        <v>4.1424701035964295E-2</v>
      </c>
      <c r="J23" s="101" t="s">
        <v>217</v>
      </c>
      <c r="K23" s="101">
        <v>60</v>
      </c>
    </row>
    <row r="24" spans="2:18" x14ac:dyDescent="0.35">
      <c r="B24" s="98">
        <v>44896</v>
      </c>
      <c r="C24" s="96">
        <v>783.41</v>
      </c>
      <c r="D24" s="26">
        <f t="shared" si="0"/>
        <v>1.2249169821560102E-2</v>
      </c>
      <c r="F24" s="98">
        <v>44896</v>
      </c>
      <c r="G24" s="92">
        <v>18105.3</v>
      </c>
      <c r="H24" s="26">
        <f t="shared" si="1"/>
        <v>-3.4813829574562805E-2</v>
      </c>
    </row>
    <row r="25" spans="2:18" ht="15" thickBot="1" x14ac:dyDescent="0.4">
      <c r="B25" s="98">
        <v>44927</v>
      </c>
      <c r="C25" s="96">
        <v>771.55</v>
      </c>
      <c r="D25" s="26">
        <f t="shared" si="0"/>
        <v>-1.5138943848048925E-2</v>
      </c>
      <c r="F25" s="98">
        <v>44927</v>
      </c>
      <c r="G25" s="92">
        <v>17662.150000000001</v>
      </c>
      <c r="H25" s="26">
        <f t="shared" si="1"/>
        <v>-2.4476258333195111E-2</v>
      </c>
      <c r="J25" t="s">
        <v>218</v>
      </c>
    </row>
    <row r="26" spans="2:18" x14ac:dyDescent="0.35">
      <c r="B26" s="98">
        <v>44958</v>
      </c>
      <c r="C26" s="96">
        <v>769.68</v>
      </c>
      <c r="D26" s="26">
        <f t="shared" si="0"/>
        <v>-2.4236925669107734E-3</v>
      </c>
      <c r="F26" s="98">
        <v>44958</v>
      </c>
      <c r="G26" s="92">
        <v>17303.95</v>
      </c>
      <c r="H26" s="26">
        <f t="shared" si="1"/>
        <v>-2.0280656658447582E-2</v>
      </c>
      <c r="J26" s="102"/>
      <c r="K26" s="102" t="s">
        <v>222</v>
      </c>
      <c r="L26" s="102" t="s">
        <v>223</v>
      </c>
      <c r="M26" s="102" t="s">
        <v>224</v>
      </c>
      <c r="N26" s="102" t="s">
        <v>225</v>
      </c>
      <c r="O26" s="102" t="s">
        <v>226</v>
      </c>
    </row>
    <row r="27" spans="2:18" x14ac:dyDescent="0.35">
      <c r="B27" s="98">
        <v>44986</v>
      </c>
      <c r="C27" s="96">
        <v>774.46</v>
      </c>
      <c r="D27" s="26">
        <f t="shared" si="0"/>
        <v>6.2103731420850572E-3</v>
      </c>
      <c r="F27" s="98">
        <v>44986</v>
      </c>
      <c r="G27" s="92">
        <v>17359.75</v>
      </c>
      <c r="H27" s="26">
        <f t="shared" si="1"/>
        <v>3.2246972512055549E-3</v>
      </c>
      <c r="J27" t="s">
        <v>219</v>
      </c>
      <c r="K27">
        <v>1</v>
      </c>
      <c r="L27">
        <v>8.2832505275825974E-2</v>
      </c>
      <c r="M27">
        <v>8.2832505275825974E-2</v>
      </c>
      <c r="N27">
        <v>58.374004354958849</v>
      </c>
      <c r="O27">
        <v>2.4594359959591414E-10</v>
      </c>
    </row>
    <row r="28" spans="2:18" x14ac:dyDescent="0.35">
      <c r="B28" s="98">
        <v>45017</v>
      </c>
      <c r="C28" s="96">
        <v>812.02</v>
      </c>
      <c r="D28" s="26">
        <f t="shared" si="0"/>
        <v>4.849830849882486E-2</v>
      </c>
      <c r="F28" s="98">
        <v>45017</v>
      </c>
      <c r="G28" s="92">
        <v>18065</v>
      </c>
      <c r="H28" s="26">
        <f t="shared" si="1"/>
        <v>4.0625585045867663E-2</v>
      </c>
      <c r="J28" t="s">
        <v>220</v>
      </c>
      <c r="K28">
        <v>58</v>
      </c>
      <c r="L28">
        <v>8.2301794421779872E-2</v>
      </c>
      <c r="M28">
        <v>1.4189964555479289E-3</v>
      </c>
    </row>
    <row r="29" spans="2:18" ht="15" thickBot="1" x14ac:dyDescent="0.4">
      <c r="B29" s="98">
        <v>45047</v>
      </c>
      <c r="C29" s="96">
        <v>775.09</v>
      </c>
      <c r="D29" s="26">
        <f t="shared" si="0"/>
        <v>-4.5479175389768645E-2</v>
      </c>
      <c r="F29" s="98">
        <v>45047</v>
      </c>
      <c r="G29" s="92">
        <v>18534.400000000001</v>
      </c>
      <c r="H29" s="26">
        <f t="shared" si="1"/>
        <v>2.5983946858566309E-2</v>
      </c>
      <c r="J29" s="101" t="s">
        <v>26</v>
      </c>
      <c r="K29" s="101">
        <v>59</v>
      </c>
      <c r="L29" s="101">
        <v>0.16513429969760585</v>
      </c>
      <c r="M29" s="101"/>
      <c r="N29" s="101"/>
      <c r="O29" s="101"/>
    </row>
    <row r="30" spans="2:18" ht="15" thickBot="1" x14ac:dyDescent="0.4">
      <c r="B30" s="98">
        <v>45078</v>
      </c>
      <c r="C30" s="96">
        <v>828.05</v>
      </c>
      <c r="D30" s="26">
        <f t="shared" si="0"/>
        <v>6.8327549058818882E-2</v>
      </c>
      <c r="F30" s="98">
        <v>45078</v>
      </c>
      <c r="G30" s="92">
        <v>19189.05</v>
      </c>
      <c r="H30" s="26">
        <f t="shared" si="1"/>
        <v>3.5320808874309328E-2</v>
      </c>
    </row>
    <row r="31" spans="2:18" x14ac:dyDescent="0.35">
      <c r="B31" s="98">
        <v>45108</v>
      </c>
      <c r="C31" s="96">
        <v>803.62</v>
      </c>
      <c r="D31" s="26">
        <f t="shared" si="0"/>
        <v>-2.9503049332769704E-2</v>
      </c>
      <c r="F31" s="98">
        <v>45108</v>
      </c>
      <c r="G31" s="92">
        <v>19753.8</v>
      </c>
      <c r="H31" s="26">
        <f t="shared" si="1"/>
        <v>2.9430847280089489E-2</v>
      </c>
      <c r="J31" s="102"/>
      <c r="K31" s="102" t="s">
        <v>227</v>
      </c>
      <c r="L31" s="102" t="s">
        <v>216</v>
      </c>
      <c r="M31" s="102" t="s">
        <v>228</v>
      </c>
      <c r="N31" s="102" t="s">
        <v>229</v>
      </c>
      <c r="O31" s="102" t="s">
        <v>230</v>
      </c>
      <c r="P31" s="102" t="s">
        <v>231</v>
      </c>
      <c r="Q31" s="102" t="s">
        <v>232</v>
      </c>
      <c r="R31" s="102" t="s">
        <v>233</v>
      </c>
    </row>
    <row r="32" spans="2:18" x14ac:dyDescent="0.35">
      <c r="B32" s="98">
        <v>45139</v>
      </c>
      <c r="C32" s="96">
        <v>764.8</v>
      </c>
      <c r="D32" s="26">
        <f t="shared" si="0"/>
        <v>-4.8306413479007548E-2</v>
      </c>
      <c r="F32" s="98">
        <v>45139</v>
      </c>
      <c r="G32" s="92">
        <v>19253.8</v>
      </c>
      <c r="H32" s="26">
        <f t="shared" si="1"/>
        <v>-2.5311585618969512E-2</v>
      </c>
      <c r="J32" t="s">
        <v>221</v>
      </c>
      <c r="K32">
        <v>-3.8865763738977605E-3</v>
      </c>
      <c r="L32">
        <v>4.9462222587798301E-3</v>
      </c>
      <c r="M32">
        <v>-0.78576662563006805</v>
      </c>
      <c r="N32">
        <v>0.43520261513632552</v>
      </c>
      <c r="O32">
        <v>-1.3787515949765685E-2</v>
      </c>
      <c r="P32">
        <v>6.0143632019701628E-3</v>
      </c>
      <c r="Q32">
        <v>-1.3787515949765685E-2</v>
      </c>
      <c r="R32">
        <v>6.0143632019701628E-3</v>
      </c>
    </row>
    <row r="33" spans="2:18" ht="15" thickBot="1" x14ac:dyDescent="0.4">
      <c r="B33" s="98">
        <v>45170</v>
      </c>
      <c r="C33" s="96">
        <v>742.83</v>
      </c>
      <c r="D33" s="26">
        <f t="shared" si="0"/>
        <v>-2.872646443514637E-2</v>
      </c>
      <c r="F33" s="98">
        <v>45170</v>
      </c>
      <c r="G33" s="92">
        <v>19638.3</v>
      </c>
      <c r="H33" s="26">
        <f t="shared" si="1"/>
        <v>1.9970083827608009E-2</v>
      </c>
      <c r="J33" s="101" t="s">
        <v>234</v>
      </c>
      <c r="K33" s="101">
        <v>0.95394138678996721</v>
      </c>
      <c r="L33" s="101">
        <v>0.12485672753605338</v>
      </c>
      <c r="M33" s="101">
        <v>7.6402882376883454</v>
      </c>
      <c r="N33" s="101">
        <v>2.4594359959591146E-10</v>
      </c>
      <c r="O33" s="101">
        <v>0.70401349226789134</v>
      </c>
      <c r="P33" s="101">
        <v>1.2038692813120431</v>
      </c>
      <c r="Q33" s="101">
        <v>0.70401349226789134</v>
      </c>
      <c r="R33" s="101">
        <v>1.2038692813120431</v>
      </c>
    </row>
    <row r="34" spans="2:18" x14ac:dyDescent="0.35">
      <c r="B34" s="98">
        <v>45200</v>
      </c>
      <c r="C34" s="96">
        <v>718.59</v>
      </c>
      <c r="D34" s="26">
        <f t="shared" si="0"/>
        <v>-3.2631961552441302E-2</v>
      </c>
      <c r="F34" s="98">
        <v>45200</v>
      </c>
      <c r="G34" s="92">
        <v>19079.599999999999</v>
      </c>
      <c r="H34" s="26">
        <f t="shared" si="1"/>
        <v>-2.844950937708457E-2</v>
      </c>
    </row>
    <row r="35" spans="2:18" x14ac:dyDescent="0.35">
      <c r="B35" s="98">
        <v>45231</v>
      </c>
      <c r="C35" s="96">
        <v>758.65</v>
      </c>
      <c r="D35" s="26">
        <f t="shared" si="0"/>
        <v>5.5748062177319424E-2</v>
      </c>
      <c r="F35" s="98">
        <v>45231</v>
      </c>
      <c r="G35" s="92">
        <v>20133.150000000001</v>
      </c>
      <c r="H35" s="26">
        <f t="shared" si="1"/>
        <v>5.5218662865049728E-2</v>
      </c>
    </row>
    <row r="36" spans="2:18" x14ac:dyDescent="0.35">
      <c r="B36" s="98">
        <v>45261</v>
      </c>
      <c r="C36" s="96">
        <v>831.87</v>
      </c>
      <c r="D36" s="26">
        <f t="shared" si="0"/>
        <v>9.6513543794898959E-2</v>
      </c>
      <c r="F36" s="98">
        <v>45261</v>
      </c>
      <c r="G36" s="92">
        <v>21731.4</v>
      </c>
      <c r="H36" s="26">
        <f t="shared" si="1"/>
        <v>7.9384001013254268E-2</v>
      </c>
    </row>
    <row r="37" spans="2:18" x14ac:dyDescent="0.35">
      <c r="B37" s="98">
        <v>45292</v>
      </c>
      <c r="C37" s="96">
        <v>711.8</v>
      </c>
      <c r="D37" s="26">
        <f t="shared" si="0"/>
        <v>-0.14433745657374353</v>
      </c>
      <c r="F37" s="98">
        <v>45292</v>
      </c>
      <c r="G37" s="92">
        <v>21725.7</v>
      </c>
      <c r="H37" s="26">
        <f t="shared" si="1"/>
        <v>-2.6229327148741266E-4</v>
      </c>
    </row>
    <row r="38" spans="2:18" x14ac:dyDescent="0.35">
      <c r="B38" s="98">
        <v>45323</v>
      </c>
      <c r="C38" s="96">
        <v>683.01</v>
      </c>
      <c r="D38" s="26">
        <f t="shared" si="0"/>
        <v>-4.0446754706378152E-2</v>
      </c>
      <c r="F38" s="98">
        <v>45323</v>
      </c>
      <c r="G38" s="92">
        <v>21982.799999999999</v>
      </c>
      <c r="H38" s="26">
        <f t="shared" si="1"/>
        <v>1.1833910990209695E-2</v>
      </c>
    </row>
    <row r="39" spans="2:18" x14ac:dyDescent="0.35">
      <c r="B39" s="98">
        <v>45352</v>
      </c>
      <c r="C39" s="96">
        <v>704.67</v>
      </c>
      <c r="D39" s="26">
        <f t="shared" si="0"/>
        <v>3.1712566433873546E-2</v>
      </c>
      <c r="F39" s="98">
        <v>45352</v>
      </c>
      <c r="G39" s="92">
        <v>22326.9</v>
      </c>
      <c r="H39" s="26">
        <f t="shared" si="1"/>
        <v>1.5653147005840973E-2</v>
      </c>
    </row>
    <row r="40" spans="2:18" x14ac:dyDescent="0.35">
      <c r="B40" s="98">
        <v>45383</v>
      </c>
      <c r="C40" s="96">
        <v>739.81</v>
      </c>
      <c r="D40" s="26">
        <f t="shared" si="0"/>
        <v>4.9867313778080513E-2</v>
      </c>
      <c r="F40" s="98">
        <v>45383</v>
      </c>
      <c r="G40" s="92">
        <v>22604.85</v>
      </c>
      <c r="H40" s="26">
        <f t="shared" si="1"/>
        <v>1.2449108474530624E-2</v>
      </c>
    </row>
    <row r="41" spans="2:18" x14ac:dyDescent="0.35">
      <c r="B41" s="98">
        <v>45413</v>
      </c>
      <c r="C41" s="96">
        <v>745.38</v>
      </c>
      <c r="D41" s="26">
        <f t="shared" si="0"/>
        <v>7.528960138414087E-3</v>
      </c>
      <c r="F41" s="98">
        <v>45413</v>
      </c>
      <c r="G41" s="92">
        <v>22530.7</v>
      </c>
      <c r="H41" s="26">
        <f t="shared" si="1"/>
        <v>-3.2802694996869608E-3</v>
      </c>
    </row>
    <row r="42" spans="2:18" x14ac:dyDescent="0.35">
      <c r="B42" s="98">
        <v>45444</v>
      </c>
      <c r="C42" s="96">
        <v>830.67</v>
      </c>
      <c r="D42" s="26">
        <f t="shared" si="0"/>
        <v>0.11442485711985828</v>
      </c>
      <c r="F42" s="98">
        <v>45444</v>
      </c>
      <c r="G42" s="92">
        <v>24010.6</v>
      </c>
      <c r="H42" s="26">
        <f t="shared" si="1"/>
        <v>6.5683711558007341E-2</v>
      </c>
    </row>
    <row r="43" spans="2:18" x14ac:dyDescent="0.35">
      <c r="B43" s="98">
        <v>45474</v>
      </c>
      <c r="C43" s="96">
        <v>797.1</v>
      </c>
      <c r="D43" s="26">
        <f t="shared" si="0"/>
        <v>-4.0413160460832764E-2</v>
      </c>
      <c r="F43" s="98">
        <v>45474</v>
      </c>
      <c r="G43" s="92">
        <v>24951.15</v>
      </c>
      <c r="H43" s="26">
        <f t="shared" si="1"/>
        <v>3.917228224200997E-2</v>
      </c>
    </row>
    <row r="44" spans="2:18" x14ac:dyDescent="0.35">
      <c r="B44" s="98">
        <v>45505</v>
      </c>
      <c r="C44" s="96">
        <v>807.53</v>
      </c>
      <c r="D44" s="26">
        <f t="shared" si="0"/>
        <v>1.3084932881695988E-2</v>
      </c>
      <c r="F44" s="98">
        <v>45505</v>
      </c>
      <c r="G44" s="92">
        <v>25235.9</v>
      </c>
      <c r="H44" s="26">
        <f t="shared" si="1"/>
        <v>1.141229963348378E-2</v>
      </c>
    </row>
    <row r="45" spans="2:18" x14ac:dyDescent="0.35">
      <c r="B45" s="98">
        <v>45536</v>
      </c>
      <c r="C45" s="96">
        <v>854.48</v>
      </c>
      <c r="D45" s="26">
        <f t="shared" si="0"/>
        <v>5.8140254851213102E-2</v>
      </c>
      <c r="F45" s="98">
        <v>45536</v>
      </c>
      <c r="G45" s="92">
        <v>25810.85</v>
      </c>
      <c r="H45" s="26">
        <f t="shared" si="1"/>
        <v>2.2783019428670892E-2</v>
      </c>
    </row>
    <row r="46" spans="2:18" x14ac:dyDescent="0.35">
      <c r="B46" s="98">
        <v>45566</v>
      </c>
      <c r="C46" s="96">
        <v>856.28</v>
      </c>
      <c r="D46" s="26">
        <f t="shared" si="0"/>
        <v>2.1065443310550602E-3</v>
      </c>
      <c r="F46" s="98">
        <v>45566</v>
      </c>
      <c r="G46" s="92">
        <v>24205.35</v>
      </c>
      <c r="H46" s="26">
        <f t="shared" si="1"/>
        <v>-6.2202523357425266E-2</v>
      </c>
    </row>
    <row r="47" spans="2:18" x14ac:dyDescent="0.35">
      <c r="B47" s="98">
        <v>45597</v>
      </c>
      <c r="C47" s="96">
        <v>886.05</v>
      </c>
      <c r="D47" s="26">
        <f t="shared" si="0"/>
        <v>3.4766665109543515E-2</v>
      </c>
      <c r="F47" s="98">
        <v>45597</v>
      </c>
      <c r="G47" s="92">
        <v>24131.1</v>
      </c>
      <c r="H47" s="26">
        <f t="shared" si="1"/>
        <v>-3.0675036717089377E-3</v>
      </c>
    </row>
    <row r="48" spans="2:18" x14ac:dyDescent="0.35">
      <c r="B48" s="98">
        <v>45627</v>
      </c>
      <c r="C48" s="96">
        <v>874.6</v>
      </c>
      <c r="D48" s="26">
        <f t="shared" si="0"/>
        <v>-1.2922521302409451E-2</v>
      </c>
      <c r="F48" s="98">
        <v>45627</v>
      </c>
      <c r="G48" s="92">
        <v>23644.799999999999</v>
      </c>
      <c r="H48" s="26">
        <f t="shared" si="1"/>
        <v>-2.0152417419844082E-2</v>
      </c>
    </row>
    <row r="49" spans="2:8" x14ac:dyDescent="0.35">
      <c r="B49" s="98">
        <v>45658</v>
      </c>
      <c r="C49" s="96">
        <v>838.05</v>
      </c>
      <c r="D49" s="26">
        <f t="shared" si="0"/>
        <v>-4.1790532815001225E-2</v>
      </c>
      <c r="F49" s="98">
        <v>45658</v>
      </c>
      <c r="G49" s="92">
        <v>23508.400000000001</v>
      </c>
      <c r="H49" s="26">
        <f t="shared" si="1"/>
        <v>-5.7687102449586192E-3</v>
      </c>
    </row>
    <row r="50" spans="2:8" x14ac:dyDescent="0.35">
      <c r="B50" s="98">
        <v>45689</v>
      </c>
      <c r="C50" s="96">
        <v>854.65</v>
      </c>
      <c r="D50" s="26">
        <f t="shared" si="0"/>
        <v>1.9807887357556231E-2</v>
      </c>
      <c r="F50" s="98">
        <v>45689</v>
      </c>
      <c r="G50" s="92">
        <v>22124.7</v>
      </c>
      <c r="H50" s="26">
        <f t="shared" si="1"/>
        <v>-5.8859811811948104E-2</v>
      </c>
    </row>
    <row r="51" spans="2:8" x14ac:dyDescent="0.35">
      <c r="B51" s="98">
        <v>45717</v>
      </c>
      <c r="C51" s="96">
        <v>901.91</v>
      </c>
      <c r="D51" s="26">
        <f t="shared" si="0"/>
        <v>5.5297490200666877E-2</v>
      </c>
      <c r="F51" s="98">
        <v>45717</v>
      </c>
      <c r="G51" s="92">
        <v>23519.35</v>
      </c>
      <c r="H51" s="26">
        <f t="shared" si="1"/>
        <v>6.3035882972424462E-2</v>
      </c>
    </row>
    <row r="52" spans="2:8" x14ac:dyDescent="0.35">
      <c r="B52" s="98">
        <v>45748</v>
      </c>
      <c r="C52" s="96">
        <v>949.66</v>
      </c>
      <c r="D52" s="26">
        <f t="shared" si="0"/>
        <v>5.2943198323557761E-2</v>
      </c>
      <c r="F52" s="98">
        <v>45748</v>
      </c>
      <c r="G52" s="92">
        <v>24334.2</v>
      </c>
      <c r="H52" s="26">
        <f t="shared" si="1"/>
        <v>3.4645940470293679E-2</v>
      </c>
    </row>
    <row r="53" spans="2:8" x14ac:dyDescent="0.35">
      <c r="B53" s="98">
        <v>45778</v>
      </c>
      <c r="C53" s="96">
        <v>959.48</v>
      </c>
      <c r="D53" s="26">
        <f t="shared" si="0"/>
        <v>1.0340542931154273E-2</v>
      </c>
      <c r="F53" s="98">
        <v>45778</v>
      </c>
      <c r="G53" s="92">
        <v>24750.7</v>
      </c>
      <c r="H53" s="26">
        <f t="shared" si="1"/>
        <v>1.7115828751304685E-2</v>
      </c>
    </row>
    <row r="54" spans="2:8" x14ac:dyDescent="0.35">
      <c r="B54" s="98">
        <v>45809</v>
      </c>
      <c r="C54" s="96">
        <v>987.4</v>
      </c>
      <c r="D54" s="26">
        <f t="shared" si="0"/>
        <v>2.909909534331101E-2</v>
      </c>
      <c r="F54" s="98">
        <v>45809</v>
      </c>
      <c r="G54" s="92">
        <v>25517.05</v>
      </c>
      <c r="H54" s="26">
        <f t="shared" si="1"/>
        <v>3.0962760649193788E-2</v>
      </c>
    </row>
    <row r="55" spans="2:8" x14ac:dyDescent="0.35">
      <c r="B55" s="98">
        <v>45839</v>
      </c>
      <c r="C55" s="96">
        <v>1006.6</v>
      </c>
      <c r="D55" s="26">
        <f t="shared" si="0"/>
        <v>1.9445007089325506E-2</v>
      </c>
      <c r="F55" s="98">
        <v>45839</v>
      </c>
      <c r="G55" s="92">
        <v>24768.35</v>
      </c>
      <c r="H55" s="26">
        <f t="shared" si="1"/>
        <v>-2.9341166004691055E-2</v>
      </c>
    </row>
    <row r="56" spans="2:8" x14ac:dyDescent="0.35">
      <c r="B56" s="98">
        <v>45870</v>
      </c>
      <c r="C56" s="96">
        <v>951.6</v>
      </c>
      <c r="D56" s="26">
        <f t="shared" si="0"/>
        <v>-5.4639380091396794E-2</v>
      </c>
      <c r="F56" s="98">
        <v>45870</v>
      </c>
      <c r="G56" s="92">
        <v>24426.85</v>
      </c>
      <c r="H56" s="26">
        <f t="shared" si="1"/>
        <v>-1.3787757359694952E-2</v>
      </c>
    </row>
    <row r="57" spans="2:8" x14ac:dyDescent="0.35">
      <c r="B57" s="98">
        <v>45901</v>
      </c>
      <c r="C57" s="96">
        <v>951</v>
      </c>
      <c r="D57" s="26">
        <f t="shared" si="0"/>
        <v>-6.3051702395966469E-4</v>
      </c>
      <c r="F57" s="98">
        <v>45901</v>
      </c>
      <c r="G57" s="92">
        <v>24611.1</v>
      </c>
      <c r="H57" s="26">
        <f t="shared" si="1"/>
        <v>7.5429291947182175E-3</v>
      </c>
    </row>
    <row r="58" spans="2:8" x14ac:dyDescent="0.35">
      <c r="B58" s="98">
        <v>45931</v>
      </c>
      <c r="C58" s="96">
        <v>987.3</v>
      </c>
      <c r="D58" s="26">
        <f t="shared" si="0"/>
        <v>3.817034700315447E-2</v>
      </c>
      <c r="F58" s="98">
        <v>45931</v>
      </c>
      <c r="G58" s="92">
        <v>25722.1</v>
      </c>
      <c r="H58" s="26">
        <f t="shared" si="1"/>
        <v>4.5142232569856722E-2</v>
      </c>
    </row>
    <row r="59" spans="2:8" x14ac:dyDescent="0.35">
      <c r="B59" s="98">
        <v>45962</v>
      </c>
      <c r="C59" s="96">
        <v>1007.6</v>
      </c>
      <c r="D59" s="26">
        <f t="shared" si="0"/>
        <v>2.0561126304061705E-2</v>
      </c>
      <c r="F59" s="98">
        <v>45962</v>
      </c>
      <c r="G59" s="92">
        <v>26202.95</v>
      </c>
      <c r="H59" s="26">
        <f t="shared" si="1"/>
        <v>1.8694041310779452E-2</v>
      </c>
    </row>
    <row r="60" spans="2:8" x14ac:dyDescent="0.35">
      <c r="B60" s="98">
        <v>45992</v>
      </c>
      <c r="C60" s="96">
        <v>991.2</v>
      </c>
      <c r="D60" s="26">
        <f t="shared" si="0"/>
        <v>-1.6276300119094866E-2</v>
      </c>
      <c r="F60" s="98">
        <v>45992</v>
      </c>
      <c r="G60" s="92">
        <v>26129.599999999999</v>
      </c>
      <c r="H60" s="26">
        <f t="shared" si="1"/>
        <v>-2.7993031318993555E-3</v>
      </c>
    </row>
    <row r="61" spans="2:8" x14ac:dyDescent="0.35">
      <c r="B61" s="98">
        <v>46023</v>
      </c>
      <c r="C61" s="96">
        <v>929.25</v>
      </c>
      <c r="D61" s="26">
        <f t="shared" si="0"/>
        <v>-6.25E-2</v>
      </c>
      <c r="F61" s="98">
        <v>46023</v>
      </c>
      <c r="G61" s="92">
        <v>25320.65</v>
      </c>
      <c r="H61" s="26">
        <f t="shared" si="1"/>
        <v>-3.0959142122343852E-2</v>
      </c>
    </row>
    <row r="62" spans="2:8" x14ac:dyDescent="0.35">
      <c r="B62" s="98">
        <v>46054</v>
      </c>
      <c r="C62" s="96">
        <v>887.75</v>
      </c>
      <c r="D62" s="26">
        <f t="shared" si="0"/>
        <v>-4.4659671778315868E-2</v>
      </c>
      <c r="F62" s="98">
        <v>46054</v>
      </c>
      <c r="G62" s="92">
        <v>25178.65</v>
      </c>
      <c r="H62" s="26">
        <f t="shared" si="1"/>
        <v>-5.6080708828565307E-3</v>
      </c>
    </row>
    <row r="63" spans="2:8" x14ac:dyDescent="0.35">
      <c r="B63" s="98">
        <v>46082</v>
      </c>
      <c r="C63" s="96">
        <v>731.55</v>
      </c>
      <c r="D63" s="26">
        <f t="shared" si="0"/>
        <v>-0.17595043649676156</v>
      </c>
      <c r="F63" s="98">
        <v>46082</v>
      </c>
      <c r="G63" s="92">
        <v>22331.4</v>
      </c>
      <c r="H63" s="26">
        <f t="shared" si="1"/>
        <v>-0.11308191662380629</v>
      </c>
    </row>
    <row r="64" spans="2:8" x14ac:dyDescent="0.35">
      <c r="B64" s="98">
        <v>46113</v>
      </c>
      <c r="C64" s="96">
        <v>771.7</v>
      </c>
      <c r="D64" s="26">
        <f t="shared" si="0"/>
        <v>5.4883466611988396E-2</v>
      </c>
      <c r="F64" s="98">
        <v>46113</v>
      </c>
      <c r="G64" s="92">
        <v>23997.55</v>
      </c>
      <c r="H64" s="26">
        <f t="shared" si="1"/>
        <v>7.4610190135862453E-2</v>
      </c>
    </row>
    <row r="65" spans="2:8" x14ac:dyDescent="0.35">
      <c r="B65" s="98">
        <v>46143</v>
      </c>
      <c r="C65" s="96">
        <v>744.55</v>
      </c>
      <c r="D65" s="26">
        <f t="shared" si="0"/>
        <v>-3.518206556952197E-2</v>
      </c>
      <c r="F65" s="98">
        <v>46143</v>
      </c>
      <c r="G65" s="92">
        <v>23547.75</v>
      </c>
      <c r="H65" s="26">
        <f t="shared" si="1"/>
        <v>-1.8743580073799171E-2</v>
      </c>
    </row>
    <row r="66" spans="2:8" x14ac:dyDescent="0.35">
      <c r="B66" s="98">
        <v>46174</v>
      </c>
      <c r="C66" s="96">
        <v>738.35</v>
      </c>
      <c r="D66" s="26">
        <f t="shared" si="0"/>
        <v>-8.3271774897588635E-3</v>
      </c>
      <c r="F66" s="98">
        <v>46174</v>
      </c>
      <c r="G66" s="92">
        <v>23123</v>
      </c>
      <c r="H66" s="26">
        <f t="shared" si="1"/>
        <v>-1.8037816776549809E-2</v>
      </c>
    </row>
    <row r="67" spans="2:8" x14ac:dyDescent="0.35">
      <c r="B67" s="98">
        <v>46183</v>
      </c>
      <c r="C67" s="96">
        <v>746.85</v>
      </c>
      <c r="D67" s="26">
        <f t="shared" si="0"/>
        <v>1.151215548181761E-2</v>
      </c>
      <c r="F67" s="98">
        <v>46183</v>
      </c>
      <c r="G67" s="92">
        <v>23214.95</v>
      </c>
      <c r="H67" s="26">
        <f t="shared" si="1"/>
        <v>3.9765601349306401E-3</v>
      </c>
    </row>
  </sheetData>
  <mergeCells count="2">
    <mergeCell ref="B4:D4"/>
    <mergeCell ref="F4:H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EC58-F8B0-4845-B959-979A604DB271}">
  <dimension ref="A2:F9"/>
  <sheetViews>
    <sheetView showGridLines="0" zoomScaleNormal="100" workbookViewId="0">
      <selection activeCell="D7" sqref="D7"/>
    </sheetView>
  </sheetViews>
  <sheetFormatPr defaultRowHeight="14.5" x14ac:dyDescent="0.35"/>
  <cols>
    <col min="1" max="1" width="1.81640625" style="84" customWidth="1"/>
    <col min="2" max="2" width="19.453125" customWidth="1"/>
  </cols>
  <sheetData>
    <row r="2" spans="2:6" x14ac:dyDescent="0.35">
      <c r="B2" s="59" t="str">
        <f>"Cost of Equity"&amp;" - "&amp;'Data Sheet'!B1</f>
        <v>Cost of Equity - HDFC BANK LTD</v>
      </c>
      <c r="C2" s="60"/>
      <c r="D2" s="60"/>
      <c r="E2" s="60"/>
      <c r="F2" s="60"/>
    </row>
    <row r="4" spans="2:6" x14ac:dyDescent="0.35">
      <c r="B4" t="s">
        <v>237</v>
      </c>
      <c r="D4" s="107">
        <v>6.9080000000000003E-2</v>
      </c>
    </row>
    <row r="5" spans="2:6" x14ac:dyDescent="0.35">
      <c r="B5" t="s">
        <v>235</v>
      </c>
      <c r="D5" s="43">
        <f>'Beta-Regression'!L12</f>
        <v>0.96545604009247543</v>
      </c>
    </row>
    <row r="7" spans="2:6" x14ac:dyDescent="0.35">
      <c r="B7" t="s">
        <v>238</v>
      </c>
      <c r="D7" s="107">
        <v>7.0000000000000007E-2</v>
      </c>
    </row>
    <row r="9" spans="2:6" ht="15" thickBot="1" x14ac:dyDescent="0.4">
      <c r="B9" s="105" t="s">
        <v>239</v>
      </c>
      <c r="C9" s="105"/>
      <c r="D9" s="106">
        <f>D4+(D7*D5)</f>
        <v>0.1366619228064733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95A5-47DE-4607-9E2E-F36AEB75A5BD}">
  <dimension ref="B2:G30"/>
  <sheetViews>
    <sheetView showGridLines="0" topLeftCell="A5" zoomScale="99" zoomScaleNormal="99" workbookViewId="0">
      <selection activeCell="F11" sqref="F11"/>
    </sheetView>
  </sheetViews>
  <sheetFormatPr defaultRowHeight="14.5" x14ac:dyDescent="0.35"/>
  <cols>
    <col min="1" max="1" width="1.81640625" customWidth="1"/>
    <col min="2" max="2" width="8.7265625" style="20"/>
    <col min="5" max="5" width="18.90625" customWidth="1"/>
  </cols>
  <sheetData>
    <row r="2" spans="2:7" x14ac:dyDescent="0.35">
      <c r="B2" s="86" t="s">
        <v>193</v>
      </c>
      <c r="C2" s="59"/>
      <c r="D2" s="59"/>
      <c r="E2" s="59"/>
      <c r="F2" s="59"/>
      <c r="G2" s="59"/>
    </row>
    <row r="4" spans="2:7" x14ac:dyDescent="0.35">
      <c r="B4" s="87" t="s">
        <v>154</v>
      </c>
      <c r="C4" s="85" t="s">
        <v>194</v>
      </c>
    </row>
    <row r="5" spans="2:7" x14ac:dyDescent="0.35">
      <c r="B5" s="20">
        <v>2000</v>
      </c>
      <c r="C5" s="26">
        <v>-0.14649999999999999</v>
      </c>
      <c r="E5" t="s">
        <v>195</v>
      </c>
      <c r="F5" s="5">
        <f>AVERAGE(C5:C30)</f>
        <v>0.1514923076923077</v>
      </c>
    </row>
    <row r="6" spans="2:7" x14ac:dyDescent="0.35">
      <c r="B6" s="20">
        <v>2001</v>
      </c>
      <c r="C6" s="26">
        <v>-0.1618</v>
      </c>
      <c r="E6" t="s">
        <v>196</v>
      </c>
      <c r="F6" s="5">
        <v>1.2999999999999999E-2</v>
      </c>
    </row>
    <row r="7" spans="2:7" x14ac:dyDescent="0.35">
      <c r="B7" s="20">
        <v>2002</v>
      </c>
      <c r="C7" s="26">
        <v>3.2500000000000001E-2</v>
      </c>
      <c r="E7" s="88" t="s">
        <v>197</v>
      </c>
      <c r="F7" s="89">
        <f>SUM(F5:F6)</f>
        <v>0.16449230769230772</v>
      </c>
    </row>
    <row r="8" spans="2:7" x14ac:dyDescent="0.35">
      <c r="B8" s="20">
        <v>2003</v>
      </c>
      <c r="C8" s="26">
        <v>0.71900000000000008</v>
      </c>
    </row>
    <row r="9" spans="2:7" x14ac:dyDescent="0.35">
      <c r="B9" s="20">
        <v>2004</v>
      </c>
      <c r="C9" s="26">
        <v>0.10679999999999999</v>
      </c>
    </row>
    <row r="10" spans="2:7" x14ac:dyDescent="0.35">
      <c r="B10" s="20">
        <v>2005</v>
      </c>
      <c r="C10" s="26">
        <v>0.36340000000000006</v>
      </c>
    </row>
    <row r="11" spans="2:7" x14ac:dyDescent="0.35">
      <c r="B11" s="20">
        <v>2006</v>
      </c>
      <c r="C11" s="26">
        <v>0.39829999999999999</v>
      </c>
    </row>
    <row r="12" spans="2:7" x14ac:dyDescent="0.35">
      <c r="B12" s="20">
        <v>2007</v>
      </c>
      <c r="C12" s="26">
        <v>0.54770000000000008</v>
      </c>
    </row>
    <row r="13" spans="2:7" x14ac:dyDescent="0.35">
      <c r="B13" s="20">
        <v>2008</v>
      </c>
      <c r="C13" s="26">
        <v>-0.51790000000000003</v>
      </c>
    </row>
    <row r="14" spans="2:7" x14ac:dyDescent="0.35">
      <c r="B14" s="20">
        <v>2009</v>
      </c>
      <c r="C14" s="26">
        <v>0.75760000000000005</v>
      </c>
    </row>
    <row r="15" spans="2:7" x14ac:dyDescent="0.35">
      <c r="B15" s="20">
        <v>2010</v>
      </c>
      <c r="C15" s="26">
        <v>0.17949999999999999</v>
      </c>
    </row>
    <row r="16" spans="2:7" x14ac:dyDescent="0.35">
      <c r="B16" s="20">
        <v>2011</v>
      </c>
      <c r="C16" s="26">
        <v>-0.2462</v>
      </c>
    </row>
    <row r="17" spans="2:3" x14ac:dyDescent="0.35">
      <c r="B17" s="20">
        <v>2012</v>
      </c>
      <c r="C17" s="26">
        <v>0.27699999999999997</v>
      </c>
    </row>
    <row r="18" spans="2:3" x14ac:dyDescent="0.35">
      <c r="B18" s="20">
        <v>2013</v>
      </c>
      <c r="C18" s="26">
        <v>6.7599999999999993E-2</v>
      </c>
    </row>
    <row r="19" spans="2:3" x14ac:dyDescent="0.35">
      <c r="B19" s="20">
        <v>2014</v>
      </c>
      <c r="C19" s="26">
        <v>0.31390000000000001</v>
      </c>
    </row>
    <row r="20" spans="2:3" x14ac:dyDescent="0.35">
      <c r="B20" s="20">
        <v>2015</v>
      </c>
      <c r="C20" s="26">
        <v>-4.0599999999999997E-2</v>
      </c>
    </row>
    <row r="21" spans="2:3" x14ac:dyDescent="0.35">
      <c r="B21" s="20">
        <v>2016</v>
      </c>
      <c r="C21" s="26">
        <v>3.0099999999999998E-2</v>
      </c>
    </row>
    <row r="22" spans="2:3" x14ac:dyDescent="0.35">
      <c r="B22" s="20">
        <v>2017</v>
      </c>
      <c r="C22" s="26">
        <v>0.28649999999999998</v>
      </c>
    </row>
    <row r="23" spans="2:3" x14ac:dyDescent="0.35">
      <c r="B23" s="20">
        <v>2018</v>
      </c>
      <c r="C23" s="26">
        <v>3.15E-2</v>
      </c>
    </row>
    <row r="24" spans="2:3" x14ac:dyDescent="0.35">
      <c r="B24" s="20">
        <v>2019</v>
      </c>
      <c r="C24" s="26">
        <v>0.1202</v>
      </c>
    </row>
    <row r="25" spans="2:3" x14ac:dyDescent="0.35">
      <c r="B25" s="20">
        <v>2020</v>
      </c>
      <c r="C25" s="26">
        <v>0.14899999999999999</v>
      </c>
    </row>
    <row r="26" spans="2:3" x14ac:dyDescent="0.35">
      <c r="B26" s="20">
        <v>2021</v>
      </c>
      <c r="C26" s="26">
        <v>0.2412</v>
      </c>
    </row>
    <row r="27" spans="2:3" x14ac:dyDescent="0.35">
      <c r="B27" s="20">
        <v>2022</v>
      </c>
      <c r="C27" s="26">
        <v>4.3200000000000002E-2</v>
      </c>
    </row>
    <row r="28" spans="2:3" x14ac:dyDescent="0.35">
      <c r="B28" s="20">
        <v>2023</v>
      </c>
      <c r="C28" s="26">
        <v>0.19420000000000001</v>
      </c>
    </row>
    <row r="29" spans="2:3" x14ac:dyDescent="0.35">
      <c r="B29" s="20">
        <v>2024</v>
      </c>
      <c r="C29" s="26">
        <v>8.7499999999999994E-2</v>
      </c>
    </row>
    <row r="30" spans="2:3" x14ac:dyDescent="0.35">
      <c r="B30" s="20">
        <v>2025</v>
      </c>
      <c r="C30" s="26">
        <v>0.1051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7FCA-9337-4FBD-B0D8-7E3D91F75EF1}">
  <dimension ref="B2:K11"/>
  <sheetViews>
    <sheetView showGridLines="0" workbookViewId="0">
      <selection activeCell="G11" sqref="G11"/>
    </sheetView>
  </sheetViews>
  <sheetFormatPr defaultRowHeight="14.5" x14ac:dyDescent="0.35"/>
  <cols>
    <col min="1" max="1" width="1.81640625" customWidth="1"/>
    <col min="2" max="2" width="12.453125" customWidth="1"/>
    <col min="3" max="3" width="10.26953125" customWidth="1"/>
    <col min="4" max="4" width="17.36328125" customWidth="1"/>
    <col min="5" max="5" width="14.90625" bestFit="1" customWidth="1"/>
    <col min="6" max="6" width="19.54296875" bestFit="1" customWidth="1"/>
    <col min="7" max="7" width="15.26953125" bestFit="1" customWidth="1"/>
    <col min="8" max="8" width="17.36328125" customWidth="1"/>
    <col min="9" max="9" width="15.90625" bestFit="1" customWidth="1"/>
  </cols>
  <sheetData>
    <row r="2" spans="2:11" x14ac:dyDescent="0.35">
      <c r="B2" s="59" t="str">
        <f>"Forecast"&amp;" - "&amp;'Data Sheet'!B1</f>
        <v>Forecast - HDFC BANK LTD</v>
      </c>
      <c r="C2" s="59"/>
      <c r="D2" s="59"/>
      <c r="E2" s="59"/>
      <c r="F2" s="59"/>
      <c r="G2" s="59"/>
      <c r="H2" s="59"/>
      <c r="I2" s="59"/>
      <c r="J2" s="59"/>
      <c r="K2" s="59"/>
    </row>
    <row r="4" spans="2:11" ht="14.5" customHeight="1" x14ac:dyDescent="0.35">
      <c r="B4" s="112" t="s">
        <v>154</v>
      </c>
      <c r="C4" s="85" t="s">
        <v>249</v>
      </c>
      <c r="D4" s="114" t="s">
        <v>240</v>
      </c>
      <c r="E4" s="85" t="s">
        <v>241</v>
      </c>
      <c r="F4" s="114" t="s">
        <v>248</v>
      </c>
      <c r="G4" s="85" t="s">
        <v>242</v>
      </c>
      <c r="H4" s="85" t="s">
        <v>118</v>
      </c>
      <c r="I4" s="85" t="s">
        <v>243</v>
      </c>
    </row>
    <row r="5" spans="2:11" ht="6" customHeight="1" x14ac:dyDescent="0.35">
      <c r="B5" s="2"/>
      <c r="C5" s="111"/>
      <c r="D5" s="111"/>
      <c r="E5" s="111"/>
      <c r="F5" s="111"/>
      <c r="G5" s="111"/>
      <c r="H5" s="111"/>
      <c r="I5" s="111"/>
    </row>
    <row r="6" spans="2:11" x14ac:dyDescent="0.35">
      <c r="B6" s="109">
        <f>HistoricalFS!L3</f>
        <v>46112</v>
      </c>
      <c r="C6" s="5">
        <f>'Ratio Analysis'!L9</f>
        <v>0.13622958511291106</v>
      </c>
      <c r="D6" s="115">
        <f>SUM(HistoricalFS!K47:K48)</f>
        <v>521789.38999999996</v>
      </c>
      <c r="E6" s="115">
        <f>HistoricalFS!L33</f>
        <v>79219.459999999992</v>
      </c>
      <c r="F6" s="5">
        <f>HistoricalFS!L42</f>
        <v>0.30118571876152656</v>
      </c>
      <c r="G6" s="115">
        <f>'Data Sheet'!K31</f>
        <v>23859.77</v>
      </c>
      <c r="H6" s="115">
        <f t="shared" ref="H6:H11" si="0">E6-G6</f>
        <v>55359.689999999988</v>
      </c>
      <c r="I6" s="115">
        <f>SUM(HistoricalFS!L47:L48)</f>
        <v>581514.36</v>
      </c>
    </row>
    <row r="7" spans="2:11" x14ac:dyDescent="0.35">
      <c r="B7" s="110">
        <f>B6+365</f>
        <v>46477</v>
      </c>
      <c r="C7" s="107">
        <v>0.14499999999999999</v>
      </c>
      <c r="D7" s="115">
        <f>I6</f>
        <v>581514.36</v>
      </c>
      <c r="E7" s="115">
        <f>C7*D7</f>
        <v>84319.58219999999</v>
      </c>
      <c r="F7" s="5">
        <f>'Ratio Analysis'!$O$12</f>
        <v>0.22530320385626554</v>
      </c>
      <c r="G7" s="115">
        <f>F7*E7</f>
        <v>18997.472017481738</v>
      </c>
      <c r="H7" s="115">
        <f t="shared" si="0"/>
        <v>65322.110182518256</v>
      </c>
      <c r="I7" s="115">
        <f>D7+H7</f>
        <v>646836.47018251824</v>
      </c>
    </row>
    <row r="8" spans="2:11" x14ac:dyDescent="0.35">
      <c r="B8" s="110">
        <f t="shared" ref="B8:B10" si="1">B7+365</f>
        <v>46842</v>
      </c>
      <c r="C8" s="107">
        <v>0.14499999999999999</v>
      </c>
      <c r="D8" s="115">
        <f>I7</f>
        <v>646836.47018251824</v>
      </c>
      <c r="E8" s="115">
        <f>C8*D8</f>
        <v>93791.288176465139</v>
      </c>
      <c r="F8" s="5">
        <f>'Ratio Analysis'!$O$12</f>
        <v>0.22530320385626554</v>
      </c>
      <c r="G8" s="115">
        <f>F8*E8</f>
        <v>21131.477719963874</v>
      </c>
      <c r="H8" s="115">
        <f t="shared" si="0"/>
        <v>72659.810456501262</v>
      </c>
      <c r="I8" s="115">
        <f>D8+H8</f>
        <v>719496.28063901956</v>
      </c>
    </row>
    <row r="9" spans="2:11" x14ac:dyDescent="0.35">
      <c r="B9" s="110">
        <f t="shared" si="1"/>
        <v>47207</v>
      </c>
      <c r="C9" s="107">
        <v>0.14499999999999999</v>
      </c>
      <c r="D9" s="115">
        <f>I8</f>
        <v>719496.28063901956</v>
      </c>
      <c r="E9" s="115">
        <f>C9*D9</f>
        <v>104326.96069265783</v>
      </c>
      <c r="F9" s="5">
        <f>'Ratio Analysis'!$O$12</f>
        <v>0.22530320385626554</v>
      </c>
      <c r="G9" s="115">
        <f>F9*E9</f>
        <v>23505.198492642488</v>
      </c>
      <c r="H9" s="115">
        <f t="shared" si="0"/>
        <v>80821.762200015335</v>
      </c>
      <c r="I9" s="115">
        <f>D9+H9</f>
        <v>800318.04283903493</v>
      </c>
    </row>
    <row r="10" spans="2:11" x14ac:dyDescent="0.35">
      <c r="B10" s="110">
        <f t="shared" si="1"/>
        <v>47572</v>
      </c>
      <c r="C10" s="107">
        <v>0.14499999999999999</v>
      </c>
      <c r="D10" s="115">
        <f>I9</f>
        <v>800318.04283903493</v>
      </c>
      <c r="E10" s="115">
        <f>C10*D10</f>
        <v>116046.11621166006</v>
      </c>
      <c r="F10" s="5">
        <f>'Ratio Analysis'!$O$12</f>
        <v>0.22530320385626554</v>
      </c>
      <c r="G10" s="115">
        <f>F10*E10</f>
        <v>26145.561777563529</v>
      </c>
      <c r="H10" s="115">
        <f t="shared" si="0"/>
        <v>89900.554434096528</v>
      </c>
      <c r="I10" s="115">
        <f>D10+H10</f>
        <v>890218.59727313148</v>
      </c>
    </row>
    <row r="11" spans="2:11" x14ac:dyDescent="0.35">
      <c r="B11" s="110">
        <f>B10+365</f>
        <v>47937</v>
      </c>
      <c r="C11" s="107">
        <v>0.14499999999999999</v>
      </c>
      <c r="D11" s="115">
        <f>I10</f>
        <v>890218.59727313148</v>
      </c>
      <c r="E11" s="115">
        <f>C11*D11</f>
        <v>129081.69660460406</v>
      </c>
      <c r="F11" s="5">
        <f>F10</f>
        <v>0.22530320385626554</v>
      </c>
      <c r="G11" s="115">
        <f>F11*E11</f>
        <v>29082.519804219726</v>
      </c>
      <c r="H11" s="115">
        <f t="shared" si="0"/>
        <v>99999.176800384332</v>
      </c>
      <c r="I11" s="115">
        <f>D11+H11</f>
        <v>990217.77407351579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2100-A877-4E8E-B63E-14226EB2090D}">
  <dimension ref="B2:K38"/>
  <sheetViews>
    <sheetView showGridLines="0" zoomScale="62" zoomScaleNormal="100" workbookViewId="0">
      <selection activeCell="D37" sqref="D37"/>
    </sheetView>
  </sheetViews>
  <sheetFormatPr defaultRowHeight="14.5" x14ac:dyDescent="0.35"/>
  <cols>
    <col min="1" max="1" width="1.81640625" customWidth="1"/>
    <col min="2" max="2" width="25.1796875" customWidth="1"/>
    <col min="3" max="3" width="13.1796875" customWidth="1"/>
    <col min="4" max="7" width="13.1796875" bestFit="1" customWidth="1"/>
    <col min="8" max="8" width="10.54296875" customWidth="1"/>
  </cols>
  <sheetData>
    <row r="2" spans="2:11" ht="18.5" x14ac:dyDescent="0.45">
      <c r="B2" s="132" t="s">
        <v>250</v>
      </c>
      <c r="C2" s="116"/>
      <c r="D2" s="116"/>
      <c r="E2" s="116"/>
      <c r="F2" s="116"/>
      <c r="G2" s="116"/>
      <c r="H2" s="116"/>
      <c r="I2" s="116"/>
    </row>
    <row r="4" spans="2:11" x14ac:dyDescent="0.35">
      <c r="B4" s="59" t="s">
        <v>154</v>
      </c>
      <c r="C4" s="128">
        <f>Forecasting!B6</f>
        <v>46112</v>
      </c>
      <c r="D4" s="120">
        <f>Forecasting!$B7</f>
        <v>46477</v>
      </c>
      <c r="E4" s="120">
        <f>D4+365</f>
        <v>46842</v>
      </c>
      <c r="F4" s="120">
        <f t="shared" ref="F4:H4" si="0">E4+365</f>
        <v>47207</v>
      </c>
      <c r="G4" s="120">
        <f t="shared" si="0"/>
        <v>47572</v>
      </c>
      <c r="H4" s="120">
        <f t="shared" si="0"/>
        <v>47937</v>
      </c>
    </row>
    <row r="6" spans="2:11" x14ac:dyDescent="0.35">
      <c r="B6" s="48" t="s">
        <v>240</v>
      </c>
      <c r="C6" s="121">
        <f>Forecasting!D6</f>
        <v>521789.38999999996</v>
      </c>
      <c r="D6" s="121">
        <f>Forecasting!$D7</f>
        <v>581514.36</v>
      </c>
      <c r="E6" s="121">
        <f>Forecasting!D8</f>
        <v>646836.47018251824</v>
      </c>
      <c r="F6" s="121">
        <f>Forecasting!D9</f>
        <v>719496.28063901956</v>
      </c>
      <c r="G6" s="121">
        <f>Forecasting!D10</f>
        <v>800318.04283903493</v>
      </c>
      <c r="H6" s="121">
        <f>Forecasting!D11</f>
        <v>890218.59727313148</v>
      </c>
    </row>
    <row r="7" spans="2:11" x14ac:dyDescent="0.35">
      <c r="B7" s="48" t="s">
        <v>251</v>
      </c>
      <c r="C7" s="76">
        <f>Forecasting!C6</f>
        <v>0.13622958511291106</v>
      </c>
      <c r="D7" s="76">
        <f>Forecasting!$C7</f>
        <v>0.14499999999999999</v>
      </c>
      <c r="E7" s="76">
        <f>Forecasting!$C7</f>
        <v>0.14499999999999999</v>
      </c>
      <c r="F7" s="76">
        <f>Forecasting!$C7</f>
        <v>0.14499999999999999</v>
      </c>
      <c r="G7" s="76">
        <f>Forecasting!$C7</f>
        <v>0.14499999999999999</v>
      </c>
      <c r="H7" s="76">
        <f>G7</f>
        <v>0.14499999999999999</v>
      </c>
    </row>
    <row r="8" spans="2:11" x14ac:dyDescent="0.35">
      <c r="B8" s="48" t="s">
        <v>239</v>
      </c>
      <c r="C8" s="76">
        <f>'Cost of Equity'!D9</f>
        <v>0.1366619228064733</v>
      </c>
      <c r="D8" s="76">
        <f>'Cost of Equity'!$D$9</f>
        <v>0.1366619228064733</v>
      </c>
      <c r="E8" s="76">
        <f>'Cost of Equity'!$D$9</f>
        <v>0.1366619228064733</v>
      </c>
      <c r="F8" s="76">
        <f>'Cost of Equity'!$D$9</f>
        <v>0.1366619228064733</v>
      </c>
      <c r="G8" s="76">
        <f>'Cost of Equity'!$D$9</f>
        <v>0.1366619228064733</v>
      </c>
      <c r="H8" s="76">
        <f>'Cost of Equity'!D9</f>
        <v>0.1366619228064733</v>
      </c>
    </row>
    <row r="9" spans="2:11" x14ac:dyDescent="0.35">
      <c r="B9" s="48" t="s">
        <v>254</v>
      </c>
      <c r="C9" s="76">
        <f>C7-C8</f>
        <v>-4.3233769356224028E-4</v>
      </c>
      <c r="D9" s="76">
        <f>D7-D8</f>
        <v>8.338077193526694E-3</v>
      </c>
      <c r="E9" s="76">
        <f t="shared" ref="E9:G9" si="1">E7-E8</f>
        <v>8.338077193526694E-3</v>
      </c>
      <c r="F9" s="76">
        <f t="shared" si="1"/>
        <v>8.338077193526694E-3</v>
      </c>
      <c r="G9" s="76">
        <f t="shared" si="1"/>
        <v>8.338077193526694E-3</v>
      </c>
      <c r="H9" s="76">
        <f>G9</f>
        <v>8.338077193526694E-3</v>
      </c>
    </row>
    <row r="10" spans="2:11" x14ac:dyDescent="0.35">
      <c r="B10" s="48" t="s">
        <v>252</v>
      </c>
      <c r="C10" s="121">
        <f>C9*C6</f>
        <v>-225.58922139784826</v>
      </c>
      <c r="D10" s="121">
        <f>D6*D9</f>
        <v>4848.7116228242712</v>
      </c>
      <c r="E10" s="121">
        <f t="shared" ref="E10:G10" si="2">E6*E9</f>
        <v>5393.3724199701646</v>
      </c>
      <c r="F10" s="121">
        <f t="shared" si="2"/>
        <v>5999.2155284234905</v>
      </c>
      <c r="G10" s="121">
        <f t="shared" si="2"/>
        <v>6673.1136205640769</v>
      </c>
      <c r="H10" s="121">
        <f>H9*H6</f>
        <v>7422.7113831764227</v>
      </c>
    </row>
    <row r="11" spans="2:11" x14ac:dyDescent="0.35">
      <c r="B11" s="48" t="s">
        <v>256</v>
      </c>
      <c r="C11" s="48"/>
      <c r="D11" s="122">
        <v>0.5</v>
      </c>
      <c r="E11" s="122">
        <f>D11+1</f>
        <v>1.5</v>
      </c>
      <c r="F11" s="122">
        <f t="shared" ref="F11:G11" si="3">E11+1</f>
        <v>2.5</v>
      </c>
      <c r="G11" s="122">
        <f t="shared" si="3"/>
        <v>3.5</v>
      </c>
      <c r="H11" s="122">
        <f>G11+1</f>
        <v>4.5</v>
      </c>
    </row>
    <row r="12" spans="2:11" x14ac:dyDescent="0.35">
      <c r="B12" s="48" t="s">
        <v>253</v>
      </c>
      <c r="C12" s="48"/>
      <c r="D12" s="123">
        <f>1/(1+D8)^D11</f>
        <v>0.93796005650378922</v>
      </c>
      <c r="E12" s="123">
        <f t="shared" ref="E12:G12" si="4">1/(1+E8)^E11</f>
        <v>0.82518824435318505</v>
      </c>
      <c r="F12" s="123">
        <f t="shared" si="4"/>
        <v>0.72597509232627</v>
      </c>
      <c r="G12" s="123">
        <f t="shared" si="4"/>
        <v>0.63869043007423199</v>
      </c>
      <c r="H12" s="123">
        <f>1/(1+H8)^H11</f>
        <v>0.56190008414927306</v>
      </c>
    </row>
    <row r="13" spans="2:11" ht="6" customHeight="1" x14ac:dyDescent="0.35">
      <c r="D13" s="117"/>
      <c r="E13" s="117"/>
      <c r="F13" s="117"/>
      <c r="G13" s="117"/>
    </row>
    <row r="14" spans="2:11" ht="15" thickBot="1" x14ac:dyDescent="0.4">
      <c r="B14" s="62" t="s">
        <v>255</v>
      </c>
      <c r="C14" s="62"/>
      <c r="D14" s="125">
        <f>D12*D10</f>
        <v>4547.8978277148326</v>
      </c>
      <c r="E14" s="125">
        <f t="shared" ref="E14:G14" si="5">E12*E10</f>
        <v>4450.5475183780691</v>
      </c>
      <c r="F14" s="125">
        <f t="shared" si="5"/>
        <v>4355.2810471324365</v>
      </c>
      <c r="G14" s="125">
        <f t="shared" si="5"/>
        <v>4262.0538082522853</v>
      </c>
      <c r="H14" s="125">
        <f>H12*H10</f>
        <v>4170.8221508225988</v>
      </c>
    </row>
    <row r="16" spans="2:11" x14ac:dyDescent="0.35">
      <c r="B16" s="59" t="s">
        <v>264</v>
      </c>
      <c r="C16" s="59"/>
      <c r="D16" s="59"/>
      <c r="E16" s="59"/>
      <c r="G16" s="59" t="s">
        <v>272</v>
      </c>
      <c r="H16" s="60"/>
      <c r="I16" s="60"/>
      <c r="J16" s="60"/>
      <c r="K16" s="60"/>
    </row>
    <row r="18" spans="2:11" x14ac:dyDescent="0.35">
      <c r="B18" t="s">
        <v>262</v>
      </c>
      <c r="D18" s="107">
        <v>0.14000000000000001</v>
      </c>
      <c r="G18" s="135">
        <f>D35</f>
        <v>372.90986985312787</v>
      </c>
      <c r="H18" s="16">
        <v>0.13</v>
      </c>
      <c r="I18" s="16">
        <v>0.13669999999999999</v>
      </c>
      <c r="J18" s="16">
        <v>0.14000000000000001</v>
      </c>
      <c r="K18" s="16">
        <v>0.15</v>
      </c>
    </row>
    <row r="19" spans="2:11" x14ac:dyDescent="0.35">
      <c r="B19" t="s">
        <v>263</v>
      </c>
      <c r="D19" s="126">
        <f>D8</f>
        <v>0.1366619228064733</v>
      </c>
      <c r="G19" s="16">
        <v>0.13</v>
      </c>
      <c r="H19" s="127">
        <f t="dataTable" ref="H19:K22" dt2D="1" dtr="1" r1="D8" r2="D7"/>
        <v>416.98949491976458</v>
      </c>
      <c r="I19" s="127">
        <v>367.34375684758487</v>
      </c>
      <c r="J19" s="127">
        <v>346.53454432371205</v>
      </c>
      <c r="K19" s="127">
        <v>294.19631047178666</v>
      </c>
    </row>
    <row r="20" spans="2:11" x14ac:dyDescent="0.35">
      <c r="B20" t="s">
        <v>261</v>
      </c>
      <c r="D20" s="107">
        <v>7.5999999999999998E-2</v>
      </c>
      <c r="G20" s="16">
        <v>0.14000000000000001</v>
      </c>
      <c r="H20" s="127">
        <v>420.54226267367244</v>
      </c>
      <c r="I20" s="127">
        <v>370.8860386668801</v>
      </c>
      <c r="J20" s="127">
        <v>350.07169544046417</v>
      </c>
      <c r="K20" s="127">
        <v>297.71804909205645</v>
      </c>
    </row>
    <row r="21" spans="2:11" x14ac:dyDescent="0.35">
      <c r="G21" s="16">
        <v>0.14499999999999999</v>
      </c>
      <c r="H21" s="127">
        <v>422.3186465506264</v>
      </c>
      <c r="I21" s="136">
        <v>372.65717957652771</v>
      </c>
      <c r="J21" s="127">
        <v>351.84027099884025</v>
      </c>
      <c r="K21" s="127">
        <v>299.47891840219131</v>
      </c>
    </row>
    <row r="22" spans="2:11" x14ac:dyDescent="0.35">
      <c r="B22" t="s">
        <v>258</v>
      </c>
      <c r="D22" s="119">
        <f>Forecasting!I11</f>
        <v>990217.77407351579</v>
      </c>
      <c r="G22" s="16">
        <v>0.15</v>
      </c>
      <c r="H22" s="127">
        <v>424.0950304275803</v>
      </c>
      <c r="I22" s="127">
        <v>374.42832048617532</v>
      </c>
      <c r="J22" s="127">
        <v>353.60884655721634</v>
      </c>
      <c r="K22" s="127">
        <v>301.23978771232623</v>
      </c>
    </row>
    <row r="23" spans="2:11" x14ac:dyDescent="0.35">
      <c r="B23" t="s">
        <v>259</v>
      </c>
      <c r="D23" s="119">
        <f>D22*(D18-D19)</f>
        <v>3305.4233682595946</v>
      </c>
    </row>
    <row r="25" spans="2:11" x14ac:dyDescent="0.35">
      <c r="B25" s="130" t="s">
        <v>260</v>
      </c>
      <c r="C25" s="130"/>
      <c r="D25" s="131">
        <f>D23/(D19-D20)</f>
        <v>54489.261390620959</v>
      </c>
    </row>
    <row r="27" spans="2:11" x14ac:dyDescent="0.35">
      <c r="B27" s="59" t="s">
        <v>265</v>
      </c>
      <c r="C27" s="59"/>
      <c r="D27" s="59"/>
      <c r="E27" s="59"/>
    </row>
    <row r="29" spans="2:11" x14ac:dyDescent="0.35">
      <c r="B29" t="s">
        <v>257</v>
      </c>
      <c r="D29" s="119">
        <f>SUM(D14:H14)</f>
        <v>21786.602352300222</v>
      </c>
    </row>
    <row r="30" spans="2:11" x14ac:dyDescent="0.35">
      <c r="B30" t="s">
        <v>266</v>
      </c>
      <c r="D30" s="119">
        <f>D25*H12</f>
        <v>30617.520560621651</v>
      </c>
    </row>
    <row r="32" spans="2:11" x14ac:dyDescent="0.35">
      <c r="B32" s="2" t="s">
        <v>267</v>
      </c>
      <c r="C32" s="2"/>
      <c r="D32" s="124">
        <f>SUM(D29:D30,C6)</f>
        <v>574193.51291292184</v>
      </c>
    </row>
    <row r="33" spans="2:4" x14ac:dyDescent="0.35">
      <c r="B33" t="s">
        <v>268</v>
      </c>
      <c r="D33" s="129">
        <f>'Data Sheet'!B6</f>
        <v>1539.7648582995951</v>
      </c>
    </row>
    <row r="35" spans="2:4" ht="15" thickBot="1" x14ac:dyDescent="0.4">
      <c r="B35" s="62" t="s">
        <v>269</v>
      </c>
      <c r="C35" s="62"/>
      <c r="D35" s="133">
        <f>D32/D33</f>
        <v>372.90986985312787</v>
      </c>
    </row>
    <row r="37" spans="2:4" x14ac:dyDescent="0.35">
      <c r="B37" t="s">
        <v>270</v>
      </c>
      <c r="D37" s="118">
        <v>745</v>
      </c>
    </row>
    <row r="38" spans="2:4" x14ac:dyDescent="0.35">
      <c r="B38" t="s">
        <v>271</v>
      </c>
      <c r="D38" s="134">
        <f>D37/D35</f>
        <v>1.9978017752477868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Profit &amp; Loss</vt:lpstr>
      <vt:lpstr>Quarters</vt:lpstr>
      <vt:lpstr>Balance Sheet</vt:lpstr>
      <vt:lpstr>Cash Flow</vt:lpstr>
      <vt:lpstr>Customization</vt:lpstr>
      <vt:lpstr>Index</vt:lpstr>
      <vt:lpstr>Investment Summary</vt:lpstr>
      <vt:lpstr>Data Sheet</vt:lpstr>
      <vt:lpstr>HistoricalFS</vt:lpstr>
      <vt:lpstr>Ratio Analysis</vt:lpstr>
      <vt:lpstr>Raw FS</vt:lpstr>
      <vt:lpstr>Data Room&gt;</vt:lpstr>
      <vt:lpstr>Beta-Regression</vt:lpstr>
      <vt:lpstr>Cost of Equity</vt:lpstr>
      <vt:lpstr>Rm</vt:lpstr>
      <vt:lpstr>Forecasting</vt:lpstr>
      <vt:lpstr>Excess Return Val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Ashish Jha</cp:lastModifiedBy>
  <cp:lastPrinted>2012-12-06T18:14:13Z</cp:lastPrinted>
  <dcterms:created xsi:type="dcterms:W3CDTF">2012-08-17T09:55:37Z</dcterms:created>
  <dcterms:modified xsi:type="dcterms:W3CDTF">2026-07-05T17:48:55Z</dcterms:modified>
</cp:coreProperties>
</file>